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5195" windowHeight="7935" activeTab="1"/>
  </bookViews>
  <sheets>
    <sheet name="Index" sheetId="3" r:id="rId1"/>
    <sheet name="Kinera Unit Kerja" sheetId="5" r:id="rId2"/>
    <sheet name="perhitungan individu" sheetId="4" r:id="rId3"/>
  </sheets>
  <calcPr calcId="125725"/>
</workbook>
</file>

<file path=xl/calcChain.xml><?xml version="1.0" encoding="utf-8"?>
<calcChain xmlns="http://schemas.openxmlformats.org/spreadsheetml/2006/main">
  <c r="B12" i="3"/>
  <c r="R30" i="4"/>
  <c r="Q30"/>
  <c r="P30"/>
  <c r="O30"/>
  <c r="N30"/>
  <c r="M30"/>
  <c r="L30"/>
  <c r="K30"/>
  <c r="J30"/>
  <c r="B20" i="5"/>
  <c r="B19"/>
  <c r="B18"/>
  <c r="B17"/>
  <c r="B16"/>
  <c r="B15"/>
  <c r="B14"/>
  <c r="B13"/>
  <c r="B12"/>
  <c r="B11"/>
  <c r="B10"/>
  <c r="B9"/>
  <c r="B8"/>
  <c r="B7"/>
  <c r="B6"/>
  <c r="B5"/>
  <c r="B4"/>
  <c r="E10" i="3"/>
  <c r="P41" i="4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"/>
  <c r="F19" i="5"/>
  <c r="G19"/>
  <c r="P40" i="4" s="1"/>
  <c r="F6" i="5"/>
  <c r="G6"/>
  <c r="F7"/>
  <c r="G7"/>
  <c r="F8"/>
  <c r="G8"/>
  <c r="P35" i="4"/>
  <c r="F9" i="5"/>
  <c r="G9"/>
  <c r="P39" i="4" s="1"/>
  <c r="F10" i="5"/>
  <c r="G10"/>
  <c r="F11"/>
  <c r="G11"/>
  <c r="F12"/>
  <c r="G12"/>
  <c r="F13"/>
  <c r="G13"/>
  <c r="F14"/>
  <c r="G14"/>
  <c r="F15"/>
  <c r="G15"/>
  <c r="F16"/>
  <c r="G16"/>
  <c r="F17"/>
  <c r="G17"/>
  <c r="F18"/>
  <c r="G18"/>
  <c r="F20"/>
  <c r="G20"/>
  <c r="F5"/>
  <c r="G5"/>
  <c r="D4" i="3"/>
  <c r="E4" s="1"/>
  <c r="E11"/>
  <c r="Q32" i="4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J335"/>
  <c r="Q335"/>
  <c r="J336"/>
  <c r="Q336"/>
  <c r="J337"/>
  <c r="Q337"/>
  <c r="J338"/>
  <c r="Q338"/>
  <c r="J339"/>
  <c r="Q339"/>
  <c r="J340"/>
  <c r="Q340"/>
  <c r="J341"/>
  <c r="Q341"/>
  <c r="J342"/>
  <c r="Q342"/>
  <c r="J343"/>
  <c r="Q343"/>
  <c r="J344"/>
  <c r="Q344"/>
  <c r="J345"/>
  <c r="Q345"/>
  <c r="J346"/>
  <c r="Q346"/>
  <c r="J347"/>
  <c r="Q347"/>
  <c r="J348"/>
  <c r="Q348"/>
  <c r="J349"/>
  <c r="Q349"/>
  <c r="J350"/>
  <c r="Q350"/>
  <c r="J351"/>
  <c r="Q351"/>
  <c r="J352"/>
  <c r="Q352"/>
  <c r="J353"/>
  <c r="Q353"/>
  <c r="J354"/>
  <c r="Q354"/>
  <c r="J355"/>
  <c r="Q355"/>
  <c r="J356"/>
  <c r="Q356"/>
  <c r="J357"/>
  <c r="Q357"/>
  <c r="J358"/>
  <c r="Q358"/>
  <c r="J359"/>
  <c r="Q359"/>
  <c r="J360"/>
  <c r="Q360"/>
  <c r="J361"/>
  <c r="Q361"/>
  <c r="J362"/>
  <c r="Q362"/>
  <c r="J363"/>
  <c r="Q363"/>
  <c r="J364"/>
  <c r="Q364"/>
  <c r="J365"/>
  <c r="Q365"/>
  <c r="J366"/>
  <c r="Q366"/>
  <c r="J367"/>
  <c r="Q367"/>
  <c r="J368"/>
  <c r="Q368"/>
  <c r="J369"/>
  <c r="Q369"/>
  <c r="J370"/>
  <c r="Q370"/>
  <c r="J371"/>
  <c r="Q371"/>
  <c r="J372"/>
  <c r="Q372"/>
  <c r="J373"/>
  <c r="Q373"/>
  <c r="J374"/>
  <c r="Q374"/>
  <c r="J375"/>
  <c r="Q375"/>
  <c r="J376"/>
  <c r="Q376"/>
  <c r="J377"/>
  <c r="Q377"/>
  <c r="J378"/>
  <c r="Q378"/>
  <c r="J379"/>
  <c r="Q379"/>
  <c r="J380"/>
  <c r="Q380"/>
  <c r="J381"/>
  <c r="Q381"/>
  <c r="J382"/>
  <c r="Q382"/>
  <c r="J383"/>
  <c r="Q383"/>
  <c r="J384"/>
  <c r="Q384"/>
  <c r="J385"/>
  <c r="Q385"/>
  <c r="J386"/>
  <c r="Q386"/>
  <c r="J387"/>
  <c r="Q387"/>
  <c r="J388"/>
  <c r="Q388"/>
  <c r="J389"/>
  <c r="Q389"/>
  <c r="J390"/>
  <c r="Q390"/>
  <c r="J391"/>
  <c r="Q391"/>
  <c r="J392"/>
  <c r="Q392"/>
  <c r="J393"/>
  <c r="Q393"/>
  <c r="J394"/>
  <c r="Q394"/>
  <c r="J395"/>
  <c r="Q395"/>
  <c r="J396"/>
  <c r="Q396"/>
  <c r="J397"/>
  <c r="Q397"/>
  <c r="J398"/>
  <c r="Q398"/>
  <c r="J399"/>
  <c r="Q399"/>
  <c r="J400"/>
  <c r="Q400"/>
  <c r="J401"/>
  <c r="Q401"/>
  <c r="J402"/>
  <c r="Q402"/>
  <c r="J403"/>
  <c r="Q403"/>
  <c r="J404"/>
  <c r="Q404"/>
  <c r="J405"/>
  <c r="Q405"/>
  <c r="J406"/>
  <c r="Q406"/>
  <c r="J407"/>
  <c r="Q407"/>
  <c r="J408"/>
  <c r="Q408"/>
  <c r="J409"/>
  <c r="Q409"/>
  <c r="J410"/>
  <c r="Q410"/>
  <c r="J411"/>
  <c r="Q411"/>
  <c r="J412"/>
  <c r="Q412"/>
  <c r="J413"/>
  <c r="Q413"/>
  <c r="J414"/>
  <c r="Q414"/>
  <c r="J415"/>
  <c r="Q415"/>
  <c r="J416"/>
  <c r="Q416"/>
  <c r="J417"/>
  <c r="Q417"/>
  <c r="J418"/>
  <c r="Q418"/>
  <c r="J419"/>
  <c r="Q419"/>
  <c r="J420"/>
  <c r="Q420"/>
  <c r="J421"/>
  <c r="Q421"/>
  <c r="J422"/>
  <c r="Q422"/>
  <c r="J423"/>
  <c r="Q423"/>
  <c r="J424"/>
  <c r="Q424"/>
  <c r="J425"/>
  <c r="Q425"/>
  <c r="J426"/>
  <c r="Q426"/>
  <c r="J427"/>
  <c r="Q427"/>
  <c r="J428"/>
  <c r="Q428"/>
  <c r="J429"/>
  <c r="Q429"/>
  <c r="J430"/>
  <c r="Q430"/>
  <c r="J431"/>
  <c r="Q431"/>
  <c r="J432"/>
  <c r="Q432"/>
  <c r="J433"/>
  <c r="Q433"/>
  <c r="J434"/>
  <c r="Q434"/>
  <c r="J435"/>
  <c r="Q435"/>
  <c r="J436"/>
  <c r="Q436"/>
  <c r="J437"/>
  <c r="Q437"/>
  <c r="J438"/>
  <c r="Q438"/>
  <c r="J439"/>
  <c r="Q439"/>
  <c r="J440"/>
  <c r="Q440"/>
  <c r="J441"/>
  <c r="Q441"/>
  <c r="J442"/>
  <c r="Q442"/>
  <c r="J443"/>
  <c r="Q443"/>
  <c r="J444"/>
  <c r="Q444"/>
  <c r="J445"/>
  <c r="Q445"/>
  <c r="J446"/>
  <c r="Q446"/>
  <c r="J447"/>
  <c r="Q447"/>
  <c r="J448"/>
  <c r="Q448"/>
  <c r="J449"/>
  <c r="Q449"/>
  <c r="J450"/>
  <c r="Q450"/>
  <c r="J451"/>
  <c r="Q451"/>
  <c r="J452"/>
  <c r="Q452"/>
  <c r="J453"/>
  <c r="Q453"/>
  <c r="J454"/>
  <c r="Q454"/>
  <c r="J455"/>
  <c r="Q455"/>
  <c r="J456"/>
  <c r="Q456"/>
  <c r="J457"/>
  <c r="Q457"/>
  <c r="J458"/>
  <c r="Q458"/>
  <c r="J459"/>
  <c r="Q459"/>
  <c r="J460"/>
  <c r="Q460"/>
  <c r="J461"/>
  <c r="Q461"/>
  <c r="J462"/>
  <c r="Q462"/>
  <c r="J463"/>
  <c r="Q463"/>
  <c r="J464"/>
  <c r="Q464"/>
  <c r="J465"/>
  <c r="Q465"/>
  <c r="J466"/>
  <c r="Q466"/>
  <c r="J467"/>
  <c r="Q467"/>
  <c r="J468"/>
  <c r="Q468"/>
  <c r="J469"/>
  <c r="Q469"/>
  <c r="J470"/>
  <c r="Q470"/>
  <c r="J471"/>
  <c r="Q471"/>
  <c r="J472"/>
  <c r="Q472"/>
  <c r="J473"/>
  <c r="Q473"/>
  <c r="J474"/>
  <c r="Q474"/>
  <c r="J475"/>
  <c r="Q475"/>
  <c r="J476"/>
  <c r="Q476"/>
  <c r="J477"/>
  <c r="Q477"/>
  <c r="J478"/>
  <c r="Q478"/>
  <c r="J479"/>
  <c r="Q479"/>
  <c r="J480"/>
  <c r="Q480"/>
  <c r="J481"/>
  <c r="Q481"/>
  <c r="J482"/>
  <c r="Q482"/>
  <c r="J483"/>
  <c r="Q483"/>
  <c r="J484"/>
  <c r="Q484"/>
  <c r="J485"/>
  <c r="Q485"/>
  <c r="J486"/>
  <c r="Q486"/>
  <c r="J487"/>
  <c r="Q487"/>
  <c r="J488"/>
  <c r="Q488"/>
  <c r="J489"/>
  <c r="Q489"/>
  <c r="J490"/>
  <c r="Q490"/>
  <c r="J491"/>
  <c r="Q491"/>
  <c r="J492"/>
  <c r="Q492"/>
  <c r="J493"/>
  <c r="Q493"/>
  <c r="J494"/>
  <c r="Q494"/>
  <c r="J495"/>
  <c r="Q495"/>
  <c r="J496"/>
  <c r="Q496"/>
  <c r="J497"/>
  <c r="Q497"/>
  <c r="J498"/>
  <c r="Q498"/>
  <c r="J499"/>
  <c r="Q499"/>
  <c r="J500"/>
  <c r="Q500"/>
  <c r="J501"/>
  <c r="Q501"/>
  <c r="D6" i="3"/>
  <c r="E6"/>
  <c r="D7"/>
  <c r="E7"/>
  <c r="D8"/>
  <c r="E8"/>
  <c r="D9"/>
  <c r="E9"/>
  <c r="D5"/>
  <c r="E5"/>
  <c r="H14" i="4"/>
  <c r="H15"/>
  <c r="H16"/>
  <c r="H17"/>
  <c r="H18"/>
  <c r="H19"/>
  <c r="H20"/>
  <c r="H21"/>
  <c r="H22"/>
  <c r="H23"/>
  <c r="H24"/>
  <c r="H25"/>
  <c r="H3"/>
  <c r="H4"/>
  <c r="H5"/>
  <c r="H6"/>
  <c r="H7"/>
  <c r="H8"/>
  <c r="H9"/>
  <c r="H10"/>
  <c r="H11"/>
  <c r="H12"/>
  <c r="H13"/>
  <c r="H2"/>
  <c r="E18"/>
  <c r="F18"/>
  <c r="E19"/>
  <c r="F19"/>
  <c r="E20"/>
  <c r="F20"/>
  <c r="E21"/>
  <c r="F21"/>
  <c r="E22"/>
  <c r="F22"/>
  <c r="E23"/>
  <c r="F23"/>
  <c r="E24"/>
  <c r="F24"/>
  <c r="E25"/>
  <c r="F25"/>
  <c r="F3"/>
  <c r="F4"/>
  <c r="F5"/>
  <c r="F6"/>
  <c r="F7"/>
  <c r="F8"/>
  <c r="F9"/>
  <c r="F10"/>
  <c r="F11"/>
  <c r="F12"/>
  <c r="F13"/>
  <c r="F14"/>
  <c r="F15"/>
  <c r="F16"/>
  <c r="F17"/>
  <c r="F2"/>
  <c r="E3"/>
  <c r="E4"/>
  <c r="E5"/>
  <c r="E6"/>
  <c r="E7"/>
  <c r="E8"/>
  <c r="E9"/>
  <c r="E10"/>
  <c r="E11"/>
  <c r="E12"/>
  <c r="E13"/>
  <c r="E14"/>
  <c r="E15"/>
  <c r="E16"/>
  <c r="E17"/>
  <c r="E2"/>
  <c r="A9" i="3"/>
  <c r="A8"/>
  <c r="A7"/>
  <c r="A6"/>
  <c r="A5"/>
  <c r="N33" i="4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3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201"/>
  <c r="N202"/>
  <c r="N203"/>
  <c r="N204"/>
  <c r="N205"/>
  <c r="N206"/>
  <c r="N207"/>
  <c r="N208"/>
  <c r="N209"/>
  <c r="N210"/>
  <c r="N211"/>
  <c r="N212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3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309"/>
  <c r="L310"/>
  <c r="L311"/>
  <c r="L312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R336" s="1"/>
  <c r="K337"/>
  <c r="R337" s="1"/>
  <c r="K338"/>
  <c r="R338" s="1"/>
  <c r="K339"/>
  <c r="K340"/>
  <c r="R340" s="1"/>
  <c r="K341"/>
  <c r="R341" s="1"/>
  <c r="K342"/>
  <c r="R342" s="1"/>
  <c r="K343"/>
  <c r="K344"/>
  <c r="R344" s="1"/>
  <c r="K345"/>
  <c r="R345" s="1"/>
  <c r="K346"/>
  <c r="R346" s="1"/>
  <c r="K347"/>
  <c r="K348"/>
  <c r="R348" s="1"/>
  <c r="K349"/>
  <c r="R349" s="1"/>
  <c r="K350"/>
  <c r="R350" s="1"/>
  <c r="K351"/>
  <c r="K352"/>
  <c r="R352" s="1"/>
  <c r="K353"/>
  <c r="R353" s="1"/>
  <c r="K354"/>
  <c r="R354" s="1"/>
  <c r="K355"/>
  <c r="K356"/>
  <c r="R356" s="1"/>
  <c r="K357"/>
  <c r="R357" s="1"/>
  <c r="K358"/>
  <c r="R358" s="1"/>
  <c r="K359"/>
  <c r="K360"/>
  <c r="R360" s="1"/>
  <c r="K361"/>
  <c r="R361" s="1"/>
  <c r="K362"/>
  <c r="R362" s="1"/>
  <c r="K363"/>
  <c r="K364"/>
  <c r="R364" s="1"/>
  <c r="K365"/>
  <c r="R365" s="1"/>
  <c r="K366"/>
  <c r="R366" s="1"/>
  <c r="K367"/>
  <c r="K368"/>
  <c r="R368" s="1"/>
  <c r="K369"/>
  <c r="R369" s="1"/>
  <c r="K370"/>
  <c r="R370" s="1"/>
  <c r="K371"/>
  <c r="K372"/>
  <c r="R372" s="1"/>
  <c r="K373"/>
  <c r="R373" s="1"/>
  <c r="K374"/>
  <c r="R374" s="1"/>
  <c r="K375"/>
  <c r="K376"/>
  <c r="R376" s="1"/>
  <c r="K377"/>
  <c r="R377" s="1"/>
  <c r="K378"/>
  <c r="R378" s="1"/>
  <c r="K379"/>
  <c r="K380"/>
  <c r="R380" s="1"/>
  <c r="K381"/>
  <c r="R381" s="1"/>
  <c r="K382"/>
  <c r="R382" s="1"/>
  <c r="K383"/>
  <c r="K384"/>
  <c r="R384" s="1"/>
  <c r="K385"/>
  <c r="R385" s="1"/>
  <c r="K386"/>
  <c r="R386" s="1"/>
  <c r="K387"/>
  <c r="K388"/>
  <c r="R388" s="1"/>
  <c r="K389"/>
  <c r="R389" s="1"/>
  <c r="K390"/>
  <c r="R390" s="1"/>
  <c r="K391"/>
  <c r="K392"/>
  <c r="R392" s="1"/>
  <c r="K393"/>
  <c r="R393" s="1"/>
  <c r="K394"/>
  <c r="R394" s="1"/>
  <c r="K395"/>
  <c r="K396"/>
  <c r="R396" s="1"/>
  <c r="K397"/>
  <c r="R397" s="1"/>
  <c r="K398"/>
  <c r="R398" s="1"/>
  <c r="K399"/>
  <c r="K400"/>
  <c r="R400" s="1"/>
  <c r="K401"/>
  <c r="R401" s="1"/>
  <c r="K402"/>
  <c r="R402" s="1"/>
  <c r="K403"/>
  <c r="K404"/>
  <c r="R404" s="1"/>
  <c r="K405"/>
  <c r="R405" s="1"/>
  <c r="K406"/>
  <c r="R406" s="1"/>
  <c r="K407"/>
  <c r="K408"/>
  <c r="R408" s="1"/>
  <c r="K409"/>
  <c r="R409" s="1"/>
  <c r="K410"/>
  <c r="R410" s="1"/>
  <c r="K411"/>
  <c r="K412"/>
  <c r="R412" s="1"/>
  <c r="K413"/>
  <c r="R413" s="1"/>
  <c r="K414"/>
  <c r="R414" s="1"/>
  <c r="K415"/>
  <c r="K416"/>
  <c r="R416" s="1"/>
  <c r="K417"/>
  <c r="R417" s="1"/>
  <c r="K418"/>
  <c r="R418" s="1"/>
  <c r="K419"/>
  <c r="K420"/>
  <c r="R420" s="1"/>
  <c r="K421"/>
  <c r="R421" s="1"/>
  <c r="K422"/>
  <c r="R422" s="1"/>
  <c r="K423"/>
  <c r="K424"/>
  <c r="R424" s="1"/>
  <c r="K425"/>
  <c r="R425" s="1"/>
  <c r="K426"/>
  <c r="R426" s="1"/>
  <c r="K427"/>
  <c r="K428"/>
  <c r="R428" s="1"/>
  <c r="K429"/>
  <c r="R429" s="1"/>
  <c r="K430"/>
  <c r="R430" s="1"/>
  <c r="K431"/>
  <c r="K432"/>
  <c r="R432" s="1"/>
  <c r="K433"/>
  <c r="R433" s="1"/>
  <c r="K434"/>
  <c r="R434" s="1"/>
  <c r="K435"/>
  <c r="K436"/>
  <c r="R436" s="1"/>
  <c r="K437"/>
  <c r="R437" s="1"/>
  <c r="K438"/>
  <c r="R438" s="1"/>
  <c r="K439"/>
  <c r="K440"/>
  <c r="R440" s="1"/>
  <c r="K441"/>
  <c r="R441" s="1"/>
  <c r="K442"/>
  <c r="R442" s="1"/>
  <c r="K443"/>
  <c r="K444"/>
  <c r="R444" s="1"/>
  <c r="K445"/>
  <c r="R445" s="1"/>
  <c r="K446"/>
  <c r="R446" s="1"/>
  <c r="K447"/>
  <c r="K448"/>
  <c r="R448" s="1"/>
  <c r="K449"/>
  <c r="R449" s="1"/>
  <c r="K450"/>
  <c r="R450" s="1"/>
  <c r="K451"/>
  <c r="K452"/>
  <c r="R452" s="1"/>
  <c r="K453"/>
  <c r="R453" s="1"/>
  <c r="K454"/>
  <c r="R454" s="1"/>
  <c r="K455"/>
  <c r="K456"/>
  <c r="R456" s="1"/>
  <c r="K457"/>
  <c r="R457" s="1"/>
  <c r="K458"/>
  <c r="R458" s="1"/>
  <c r="K459"/>
  <c r="K460"/>
  <c r="R460" s="1"/>
  <c r="K461"/>
  <c r="R461" s="1"/>
  <c r="K462"/>
  <c r="R462" s="1"/>
  <c r="K463"/>
  <c r="K464"/>
  <c r="R464" s="1"/>
  <c r="K465"/>
  <c r="R465" s="1"/>
  <c r="K466"/>
  <c r="R466" s="1"/>
  <c r="K467"/>
  <c r="K468"/>
  <c r="R468" s="1"/>
  <c r="K469"/>
  <c r="R469" s="1"/>
  <c r="K470"/>
  <c r="R470" s="1"/>
  <c r="K471"/>
  <c r="K472"/>
  <c r="R472" s="1"/>
  <c r="K473"/>
  <c r="R473" s="1"/>
  <c r="K474"/>
  <c r="R474" s="1"/>
  <c r="K475"/>
  <c r="R475" s="1"/>
  <c r="K476"/>
  <c r="K477"/>
  <c r="R477" s="1"/>
  <c r="K478"/>
  <c r="R478" s="1"/>
  <c r="K479"/>
  <c r="R479"/>
  <c r="K480"/>
  <c r="K481"/>
  <c r="R481" s="1"/>
  <c r="K482"/>
  <c r="R482" s="1"/>
  <c r="K483"/>
  <c r="R483" s="1"/>
  <c r="K484"/>
  <c r="K485"/>
  <c r="R485" s="1"/>
  <c r="K486"/>
  <c r="R486" s="1"/>
  <c r="K487"/>
  <c r="R487"/>
  <c r="K488"/>
  <c r="K489"/>
  <c r="R489" s="1"/>
  <c r="K490"/>
  <c r="R490" s="1"/>
  <c r="K491"/>
  <c r="R491" s="1"/>
  <c r="K492"/>
  <c r="K493"/>
  <c r="R493" s="1"/>
  <c r="K494"/>
  <c r="R494" s="1"/>
  <c r="K495"/>
  <c r="R495"/>
  <c r="K496"/>
  <c r="K497"/>
  <c r="R497" s="1"/>
  <c r="K498"/>
  <c r="R498" s="1"/>
  <c r="K499"/>
  <c r="R499" s="1"/>
  <c r="K500"/>
  <c r="R500" s="1"/>
  <c r="K501"/>
  <c r="R501" s="1"/>
  <c r="R496"/>
  <c r="R492"/>
  <c r="R488"/>
  <c r="R484"/>
  <c r="R480"/>
  <c r="R476"/>
  <c r="R471"/>
  <c r="R467"/>
  <c r="R463"/>
  <c r="R459"/>
  <c r="R455"/>
  <c r="R451"/>
  <c r="R447"/>
  <c r="R443"/>
  <c r="R439"/>
  <c r="R435"/>
  <c r="R431"/>
  <c r="R427"/>
  <c r="R423"/>
  <c r="R419"/>
  <c r="R415"/>
  <c r="R411"/>
  <c r="R407"/>
  <c r="R403"/>
  <c r="R399"/>
  <c r="R395"/>
  <c r="R391"/>
  <c r="R387"/>
  <c r="R383"/>
  <c r="R379"/>
  <c r="R375"/>
  <c r="R371"/>
  <c r="R367"/>
  <c r="R363"/>
  <c r="R359"/>
  <c r="R355"/>
  <c r="R351"/>
  <c r="R347"/>
  <c r="R343"/>
  <c r="R339"/>
  <c r="R335"/>
  <c r="J32"/>
  <c r="J33"/>
  <c r="J34"/>
  <c r="J35"/>
  <c r="R35" s="1"/>
  <c r="J36"/>
  <c r="J37"/>
  <c r="R37" s="1"/>
  <c r="J38"/>
  <c r="J39"/>
  <c r="R39" s="1"/>
  <c r="J40"/>
  <c r="R40" s="1"/>
  <c r="J41"/>
  <c r="R41" s="1"/>
  <c r="J42"/>
  <c r="R42" s="1"/>
  <c r="J43"/>
  <c r="R43" s="1"/>
  <c r="J44"/>
  <c r="R44" s="1"/>
  <c r="J45"/>
  <c r="R45" s="1"/>
  <c r="J46"/>
  <c r="R46" s="1"/>
  <c r="J47"/>
  <c r="R47" s="1"/>
  <c r="J48"/>
  <c r="R48" s="1"/>
  <c r="J49"/>
  <c r="R49" s="1"/>
  <c r="J50"/>
  <c r="R50" s="1"/>
  <c r="J51"/>
  <c r="R51" s="1"/>
  <c r="J52"/>
  <c r="R52" s="1"/>
  <c r="J53"/>
  <c r="R53" s="1"/>
  <c r="J54"/>
  <c r="R54" s="1"/>
  <c r="J55"/>
  <c r="R55" s="1"/>
  <c r="J56"/>
  <c r="R56" s="1"/>
  <c r="J57"/>
  <c r="R57" s="1"/>
  <c r="J58"/>
  <c r="R58" s="1"/>
  <c r="J59"/>
  <c r="R59" s="1"/>
  <c r="J60"/>
  <c r="R60" s="1"/>
  <c r="J61"/>
  <c r="R61" s="1"/>
  <c r="J62"/>
  <c r="R62" s="1"/>
  <c r="J63"/>
  <c r="R63" s="1"/>
  <c r="J64"/>
  <c r="R64" s="1"/>
  <c r="J65"/>
  <c r="R65" s="1"/>
  <c r="J66"/>
  <c r="R66" s="1"/>
  <c r="J67"/>
  <c r="R67" s="1"/>
  <c r="J68"/>
  <c r="R68" s="1"/>
  <c r="J69"/>
  <c r="R69" s="1"/>
  <c r="J70"/>
  <c r="R70" s="1"/>
  <c r="J71"/>
  <c r="R71" s="1"/>
  <c r="J72"/>
  <c r="R72" s="1"/>
  <c r="P37"/>
  <c r="P36"/>
  <c r="J81"/>
  <c r="R81" s="1"/>
  <c r="J80"/>
  <c r="R80" s="1"/>
  <c r="J79"/>
  <c r="R79" s="1"/>
  <c r="J78"/>
  <c r="R78" s="1"/>
  <c r="J77"/>
  <c r="R77" s="1"/>
  <c r="J76"/>
  <c r="R76" s="1"/>
  <c r="J75"/>
  <c r="R75" s="1"/>
  <c r="J74"/>
  <c r="R74" s="1"/>
  <c r="J73"/>
  <c r="R73" s="1"/>
  <c r="G4" i="5"/>
  <c r="P33" i="4" s="1"/>
  <c r="P32"/>
  <c r="R32" s="1"/>
  <c r="P38"/>
  <c r="R36"/>
  <c r="P34" l="1"/>
  <c r="R34" s="1"/>
  <c r="R38"/>
  <c r="R33"/>
  <c r="J82"/>
  <c r="R82" s="1"/>
  <c r="J83"/>
  <c r="R83" s="1"/>
  <c r="J84"/>
  <c r="R84" s="1"/>
  <c r="J85"/>
  <c r="R85" s="1"/>
  <c r="J86"/>
  <c r="R86" s="1"/>
  <c r="J87"/>
  <c r="R87" s="1"/>
  <c r="J88"/>
  <c r="R88" s="1"/>
  <c r="J89"/>
  <c r="R89" s="1"/>
  <c r="J90"/>
  <c r="R90" s="1"/>
  <c r="J91"/>
  <c r="R91" s="1"/>
  <c r="J92"/>
  <c r="R92" s="1"/>
  <c r="J93"/>
  <c r="R93" s="1"/>
  <c r="J94"/>
  <c r="R94" s="1"/>
  <c r="J95"/>
  <c r="R95" s="1"/>
  <c r="J96"/>
  <c r="R96" s="1"/>
  <c r="J97"/>
  <c r="R97" s="1"/>
  <c r="J98"/>
  <c r="R98" s="1"/>
  <c r="J99"/>
  <c r="R99" s="1"/>
  <c r="J100"/>
  <c r="R100" s="1"/>
  <c r="J101"/>
  <c r="R101" s="1"/>
  <c r="J102"/>
  <c r="R102" s="1"/>
  <c r="J103"/>
  <c r="R103" s="1"/>
  <c r="J104"/>
  <c r="R104" s="1"/>
  <c r="J105"/>
  <c r="R105" s="1"/>
  <c r="J106"/>
  <c r="R106" s="1"/>
  <c r="J107"/>
  <c r="R107" s="1"/>
  <c r="J108"/>
  <c r="R108" s="1"/>
  <c r="J109"/>
  <c r="R109" s="1"/>
  <c r="J110"/>
  <c r="R110" s="1"/>
  <c r="J111"/>
  <c r="R111" s="1"/>
  <c r="J112"/>
  <c r="R112" s="1"/>
  <c r="J113"/>
  <c r="R113" s="1"/>
  <c r="J114"/>
  <c r="R114" s="1"/>
  <c r="J115"/>
  <c r="R115" s="1"/>
  <c r="J116"/>
  <c r="R116" s="1"/>
  <c r="J117"/>
  <c r="R117" s="1"/>
  <c r="J118"/>
  <c r="R118" s="1"/>
  <c r="J119"/>
  <c r="R119" s="1"/>
  <c r="J120"/>
  <c r="R120" s="1"/>
  <c r="J121"/>
  <c r="R121" s="1"/>
  <c r="J122"/>
  <c r="R122" s="1"/>
  <c r="J123"/>
  <c r="R123" s="1"/>
  <c r="J124"/>
  <c r="R124" s="1"/>
  <c r="J125"/>
  <c r="R125" s="1"/>
  <c r="J126"/>
  <c r="R126" s="1"/>
  <c r="J127"/>
  <c r="R127" s="1"/>
  <c r="J128"/>
  <c r="R128" s="1"/>
  <c r="J129"/>
  <c r="R129" s="1"/>
  <c r="J130"/>
  <c r="R130" s="1"/>
  <c r="J131"/>
  <c r="R131" s="1"/>
  <c r="J132"/>
  <c r="R132" s="1"/>
  <c r="J133"/>
  <c r="R133" s="1"/>
  <c r="J134"/>
  <c r="R134" s="1"/>
  <c r="J135"/>
  <c r="R135" s="1"/>
  <c r="J136"/>
  <c r="R136" s="1"/>
  <c r="J137"/>
  <c r="R137" s="1"/>
  <c r="J138"/>
  <c r="R138" s="1"/>
  <c r="J139"/>
  <c r="R139" s="1"/>
  <c r="J140"/>
  <c r="R140" s="1"/>
  <c r="J141"/>
  <c r="R141" s="1"/>
  <c r="J142"/>
  <c r="R142" s="1"/>
  <c r="J143"/>
  <c r="R143" s="1"/>
  <c r="J144"/>
  <c r="R144" s="1"/>
  <c r="J145"/>
  <c r="R145" s="1"/>
  <c r="J146"/>
  <c r="R146" s="1"/>
  <c r="J147"/>
  <c r="R147" s="1"/>
  <c r="J148"/>
  <c r="R148" s="1"/>
  <c r="J149"/>
  <c r="R149" s="1"/>
  <c r="J150"/>
  <c r="R150" s="1"/>
  <c r="J151"/>
  <c r="R151" s="1"/>
  <c r="J152"/>
  <c r="R152" s="1"/>
  <c r="J153"/>
  <c r="R153" s="1"/>
  <c r="J154"/>
  <c r="R154" s="1"/>
  <c r="J155"/>
  <c r="R155" s="1"/>
  <c r="J156"/>
  <c r="R156" s="1"/>
  <c r="J157"/>
  <c r="R157" s="1"/>
  <c r="J158"/>
  <c r="R158" s="1"/>
  <c r="J159"/>
  <c r="R159" s="1"/>
  <c r="J160"/>
  <c r="R160" s="1"/>
  <c r="J161"/>
  <c r="R161" s="1"/>
  <c r="J162"/>
  <c r="R162" s="1"/>
  <c r="J163"/>
  <c r="R163" s="1"/>
  <c r="J164"/>
  <c r="R164" s="1"/>
  <c r="J165"/>
  <c r="R165" s="1"/>
  <c r="J166"/>
  <c r="R166" s="1"/>
  <c r="J167"/>
  <c r="R167" s="1"/>
  <c r="J168"/>
  <c r="R168" s="1"/>
  <c r="J169"/>
  <c r="R169" s="1"/>
  <c r="J170"/>
  <c r="R170" s="1"/>
  <c r="J171"/>
  <c r="R171" s="1"/>
  <c r="J172"/>
  <c r="R172" s="1"/>
  <c r="J173"/>
  <c r="R173" s="1"/>
  <c r="J174"/>
  <c r="R174" s="1"/>
  <c r="J175"/>
  <c r="R175" s="1"/>
  <c r="J176"/>
  <c r="R176" s="1"/>
  <c r="J177"/>
  <c r="R177" s="1"/>
  <c r="J178"/>
  <c r="R178" s="1"/>
  <c r="J179"/>
  <c r="R179" s="1"/>
  <c r="J180"/>
  <c r="R180" s="1"/>
  <c r="J181"/>
  <c r="R181" s="1"/>
  <c r="J182"/>
  <c r="R182" s="1"/>
  <c r="J183"/>
  <c r="R183" s="1"/>
  <c r="J184"/>
  <c r="R184" s="1"/>
  <c r="J185"/>
  <c r="R185" s="1"/>
  <c r="J186"/>
  <c r="R186" s="1"/>
  <c r="J187"/>
  <c r="R187" s="1"/>
  <c r="J188"/>
  <c r="R188" s="1"/>
  <c r="J189"/>
  <c r="R189" s="1"/>
  <c r="J190"/>
  <c r="R190" s="1"/>
  <c r="J191"/>
  <c r="R191" s="1"/>
  <c r="J192"/>
  <c r="R192" s="1"/>
  <c r="J193"/>
  <c r="R193" s="1"/>
  <c r="J194"/>
  <c r="R194" s="1"/>
  <c r="J195"/>
  <c r="R195" s="1"/>
  <c r="J196"/>
  <c r="R196" s="1"/>
  <c r="J197"/>
  <c r="R197" s="1"/>
  <c r="J198"/>
  <c r="R198" s="1"/>
  <c r="J199"/>
  <c r="R199" s="1"/>
  <c r="J200"/>
  <c r="R200" s="1"/>
  <c r="J201"/>
  <c r="R201" s="1"/>
  <c r="J202"/>
  <c r="R202" s="1"/>
  <c r="J203"/>
  <c r="R203" s="1"/>
  <c r="J204"/>
  <c r="R204" s="1"/>
  <c r="J205"/>
  <c r="R205" s="1"/>
  <c r="J206"/>
  <c r="R206" s="1"/>
  <c r="J207"/>
  <c r="R207" s="1"/>
  <c r="J208"/>
  <c r="R208" s="1"/>
  <c r="J209"/>
  <c r="R209" s="1"/>
  <c r="J210"/>
  <c r="R210" s="1"/>
  <c r="J211"/>
  <c r="R211" s="1"/>
  <c r="J212"/>
  <c r="R212" s="1"/>
  <c r="J213"/>
  <c r="R213" s="1"/>
  <c r="J214"/>
  <c r="R214" s="1"/>
  <c r="J215"/>
  <c r="R215" s="1"/>
  <c r="J216"/>
  <c r="R216" s="1"/>
  <c r="J217"/>
  <c r="R217" s="1"/>
  <c r="J218"/>
  <c r="R218" s="1"/>
  <c r="J219"/>
  <c r="R219" s="1"/>
  <c r="J220"/>
  <c r="R220" s="1"/>
  <c r="J221"/>
  <c r="R221" s="1"/>
  <c r="J222"/>
  <c r="R222" s="1"/>
  <c r="J223"/>
  <c r="R223" s="1"/>
  <c r="J224"/>
  <c r="R224" s="1"/>
  <c r="J225"/>
  <c r="R225" s="1"/>
  <c r="J226"/>
  <c r="R226" s="1"/>
  <c r="J227"/>
  <c r="R227" s="1"/>
  <c r="J228"/>
  <c r="R228" s="1"/>
  <c r="J229"/>
  <c r="R229" s="1"/>
  <c r="J230"/>
  <c r="R230" s="1"/>
  <c r="J231"/>
  <c r="R231" s="1"/>
  <c r="J232"/>
  <c r="R232" s="1"/>
  <c r="J233"/>
  <c r="R233" s="1"/>
  <c r="J234"/>
  <c r="R234" s="1"/>
  <c r="J235"/>
  <c r="R235" s="1"/>
  <c r="J236"/>
  <c r="R236" s="1"/>
  <c r="J237"/>
  <c r="R237" s="1"/>
  <c r="J238"/>
  <c r="R238" s="1"/>
  <c r="J239"/>
  <c r="R239" s="1"/>
  <c r="J240"/>
  <c r="R240" s="1"/>
  <c r="J241"/>
  <c r="R241" s="1"/>
  <c r="J242"/>
  <c r="R242" s="1"/>
  <c r="J243"/>
  <c r="R243" s="1"/>
  <c r="J244"/>
  <c r="R244" s="1"/>
  <c r="J245"/>
  <c r="R245" s="1"/>
  <c r="J246"/>
  <c r="R246" s="1"/>
  <c r="J247"/>
  <c r="R247" s="1"/>
  <c r="J248"/>
  <c r="R248" s="1"/>
  <c r="J249"/>
  <c r="R249" s="1"/>
  <c r="J250"/>
  <c r="R250" s="1"/>
  <c r="J251"/>
  <c r="R251" s="1"/>
  <c r="J252"/>
  <c r="R252" s="1"/>
  <c r="J253"/>
  <c r="R253" s="1"/>
  <c r="J254"/>
  <c r="R254" s="1"/>
  <c r="J255"/>
  <c r="R255" s="1"/>
  <c r="J256"/>
  <c r="R256" s="1"/>
  <c r="J257"/>
  <c r="R257" s="1"/>
  <c r="J258"/>
  <c r="R258" s="1"/>
  <c r="J259"/>
  <c r="R259" s="1"/>
  <c r="J260"/>
  <c r="R260" s="1"/>
  <c r="J261"/>
  <c r="R261" s="1"/>
  <c r="J262"/>
  <c r="R262" s="1"/>
  <c r="J263"/>
  <c r="R263" s="1"/>
  <c r="J264"/>
  <c r="R264" s="1"/>
  <c r="J265"/>
  <c r="R265" s="1"/>
  <c r="J266"/>
  <c r="R266" s="1"/>
  <c r="J267"/>
  <c r="R267" s="1"/>
  <c r="J268"/>
  <c r="R268" s="1"/>
  <c r="J269"/>
  <c r="R269" s="1"/>
  <c r="J270"/>
  <c r="R270" s="1"/>
  <c r="J271"/>
  <c r="R271" s="1"/>
  <c r="J272"/>
  <c r="R272" s="1"/>
  <c r="J273"/>
  <c r="R273" s="1"/>
  <c r="J274"/>
  <c r="R274" s="1"/>
  <c r="J275"/>
  <c r="R275" s="1"/>
  <c r="J276"/>
  <c r="R276" s="1"/>
  <c r="J277"/>
  <c r="R277" s="1"/>
  <c r="J278"/>
  <c r="R278" s="1"/>
  <c r="J279"/>
  <c r="R279" s="1"/>
  <c r="J280"/>
  <c r="R280" s="1"/>
  <c r="J281"/>
  <c r="R281" s="1"/>
  <c r="J282"/>
  <c r="R282" s="1"/>
  <c r="J283"/>
  <c r="R283" s="1"/>
  <c r="J284"/>
  <c r="R284" s="1"/>
  <c r="J285"/>
  <c r="R285" s="1"/>
  <c r="J286"/>
  <c r="R286" s="1"/>
  <c r="J287"/>
  <c r="R287" s="1"/>
  <c r="J288"/>
  <c r="R288" s="1"/>
  <c r="J289"/>
  <c r="R289" s="1"/>
  <c r="J290"/>
  <c r="R290" s="1"/>
  <c r="J291"/>
  <c r="R291" s="1"/>
  <c r="J292"/>
  <c r="R292" s="1"/>
  <c r="J293"/>
  <c r="R293" s="1"/>
  <c r="J294"/>
  <c r="R294" s="1"/>
  <c r="J295"/>
  <c r="R295" s="1"/>
  <c r="J296"/>
  <c r="R296" s="1"/>
  <c r="J297"/>
  <c r="R297" s="1"/>
  <c r="J298"/>
  <c r="R298" s="1"/>
  <c r="J299"/>
  <c r="R299" s="1"/>
  <c r="J300"/>
  <c r="R300" s="1"/>
  <c r="J301"/>
  <c r="R301" s="1"/>
  <c r="J302"/>
  <c r="R302" s="1"/>
  <c r="J303"/>
  <c r="R303" s="1"/>
  <c r="J304"/>
  <c r="R304" s="1"/>
  <c r="J305"/>
  <c r="R305" s="1"/>
  <c r="J306"/>
  <c r="R306" s="1"/>
  <c r="J307"/>
  <c r="R307" s="1"/>
  <c r="J308"/>
  <c r="R308" s="1"/>
  <c r="J309"/>
  <c r="R309" s="1"/>
  <c r="J310"/>
  <c r="R310" s="1"/>
  <c r="J311"/>
  <c r="R311" s="1"/>
  <c r="J312"/>
  <c r="R312" s="1"/>
  <c r="J313"/>
  <c r="R313" s="1"/>
  <c r="J314"/>
  <c r="R314" s="1"/>
  <c r="J315"/>
  <c r="R315" s="1"/>
  <c r="J316"/>
  <c r="R316" s="1"/>
  <c r="J317"/>
  <c r="R317" s="1"/>
  <c r="J318"/>
  <c r="R318" s="1"/>
  <c r="J319"/>
  <c r="R319" s="1"/>
  <c r="J320"/>
  <c r="R320" s="1"/>
  <c r="J321"/>
  <c r="R321" s="1"/>
  <c r="J322"/>
  <c r="R322" s="1"/>
  <c r="J323"/>
  <c r="R323" s="1"/>
  <c r="J324"/>
  <c r="R324" s="1"/>
  <c r="J325"/>
  <c r="R325" s="1"/>
  <c r="J326"/>
  <c r="R326" s="1"/>
  <c r="J327"/>
  <c r="R327" s="1"/>
  <c r="J328"/>
  <c r="R328" s="1"/>
  <c r="J329"/>
  <c r="R329" s="1"/>
  <c r="J330"/>
  <c r="R330" s="1"/>
  <c r="J331"/>
  <c r="R331" s="1"/>
  <c r="J332"/>
  <c r="R332" s="1"/>
  <c r="J333"/>
  <c r="R333" s="1"/>
  <c r="J334"/>
  <c r="R334" s="1"/>
  <c r="R29" l="1"/>
  <c r="S33" l="1"/>
  <c r="S37"/>
  <c r="S41"/>
  <c r="S45"/>
  <c r="S49"/>
  <c r="S53"/>
  <c r="S57"/>
  <c r="S61"/>
  <c r="S65"/>
  <c r="S69"/>
  <c r="S73"/>
  <c r="S77"/>
  <c r="S81"/>
  <c r="S85"/>
  <c r="S35"/>
  <c r="S43"/>
  <c r="S51"/>
  <c r="S59"/>
  <c r="S67"/>
  <c r="S75"/>
  <c r="S83"/>
  <c r="S89"/>
  <c r="S93"/>
  <c r="S97"/>
  <c r="S101"/>
  <c r="S105"/>
  <c r="S109"/>
  <c r="S113"/>
  <c r="S117"/>
  <c r="S121"/>
  <c r="S125"/>
  <c r="S129"/>
  <c r="S133"/>
  <c r="S137"/>
  <c r="S141"/>
  <c r="S145"/>
  <c r="S149"/>
  <c r="S153"/>
  <c r="S157"/>
  <c r="S161"/>
  <c r="S165"/>
  <c r="S169"/>
  <c r="S173"/>
  <c r="S177"/>
  <c r="S181"/>
  <c r="S185"/>
  <c r="S32"/>
  <c r="S36"/>
  <c r="S40"/>
  <c r="S44"/>
  <c r="S48"/>
  <c r="S52"/>
  <c r="S56"/>
  <c r="S60"/>
  <c r="S64"/>
  <c r="S68"/>
  <c r="S72"/>
  <c r="S76"/>
  <c r="S80"/>
  <c r="S84"/>
  <c r="S88"/>
  <c r="S92"/>
  <c r="S96"/>
  <c r="S100"/>
  <c r="S104"/>
  <c r="S108"/>
  <c r="S112"/>
  <c r="S116"/>
  <c r="S120"/>
  <c r="S124"/>
  <c r="S128"/>
  <c r="S132"/>
  <c r="S136"/>
  <c r="S140"/>
  <c r="S144"/>
  <c r="S148"/>
  <c r="S152"/>
  <c r="S156"/>
  <c r="S160"/>
  <c r="S164"/>
  <c r="S168"/>
  <c r="S172"/>
  <c r="S176"/>
  <c r="S180"/>
  <c r="S184"/>
  <c r="S188"/>
  <c r="S192"/>
  <c r="S196"/>
  <c r="S200"/>
  <c r="S204"/>
  <c r="S208"/>
  <c r="S212"/>
  <c r="S216"/>
  <c r="S220"/>
  <c r="S224"/>
  <c r="S228"/>
  <c r="S232"/>
  <c r="S236"/>
  <c r="S240"/>
  <c r="S244"/>
  <c r="S248"/>
  <c r="S252"/>
  <c r="S256"/>
  <c r="S260"/>
  <c r="S264"/>
  <c r="S268"/>
  <c r="S272"/>
  <c r="S276"/>
  <c r="S280"/>
  <c r="S284"/>
  <c r="S288"/>
  <c r="S292"/>
  <c r="S296"/>
  <c r="S300"/>
  <c r="S304"/>
  <c r="S308"/>
  <c r="S312"/>
  <c r="S316"/>
  <c r="S320"/>
  <c r="S324"/>
  <c r="S328"/>
  <c r="S332"/>
  <c r="S336"/>
  <c r="S340"/>
  <c r="S344"/>
  <c r="S348"/>
  <c r="S352"/>
  <c r="S356"/>
  <c r="S360"/>
  <c r="S364"/>
  <c r="S368"/>
  <c r="S372"/>
  <c r="S376"/>
  <c r="S380"/>
  <c r="S384"/>
  <c r="S388"/>
  <c r="S392"/>
  <c r="S396"/>
  <c r="S400"/>
  <c r="S404"/>
  <c r="S408"/>
  <c r="S412"/>
  <c r="S416"/>
  <c r="S420"/>
  <c r="S424"/>
  <c r="S428"/>
  <c r="S432"/>
  <c r="S436"/>
  <c r="S440"/>
  <c r="S444"/>
  <c r="S448"/>
  <c r="S452"/>
  <c r="S456"/>
  <c r="S460"/>
  <c r="S464"/>
  <c r="S468"/>
  <c r="S472"/>
  <c r="S476"/>
  <c r="S480"/>
  <c r="S484"/>
  <c r="S488"/>
  <c r="S492"/>
  <c r="S496"/>
  <c r="S195"/>
  <c r="S203"/>
  <c r="S211"/>
  <c r="S219"/>
  <c r="S227"/>
  <c r="S235"/>
  <c r="S243"/>
  <c r="S251"/>
  <c r="S259"/>
  <c r="S267"/>
  <c r="S275"/>
  <c r="S283"/>
  <c r="S291"/>
  <c r="S299"/>
  <c r="S307"/>
  <c r="S315"/>
  <c r="S323"/>
  <c r="S331"/>
  <c r="S339"/>
  <c r="S347"/>
  <c r="S355"/>
  <c r="S363"/>
  <c r="S371"/>
  <c r="S379"/>
  <c r="S387"/>
  <c r="S395"/>
  <c r="S403"/>
  <c r="S411"/>
  <c r="S419"/>
  <c r="S427"/>
  <c r="S435"/>
  <c r="S443"/>
  <c r="S451"/>
  <c r="S459"/>
  <c r="S467"/>
  <c r="S475"/>
  <c r="S483"/>
  <c r="S491"/>
  <c r="S498"/>
  <c r="S189"/>
  <c r="S197"/>
  <c r="S205"/>
  <c r="S213"/>
  <c r="S221"/>
  <c r="S229"/>
  <c r="S237"/>
  <c r="S245"/>
  <c r="S253"/>
  <c r="S261"/>
  <c r="S269"/>
  <c r="S277"/>
  <c r="S285"/>
  <c r="S293"/>
  <c r="S301"/>
  <c r="S309"/>
  <c r="S317"/>
  <c r="S325"/>
  <c r="S333"/>
  <c r="S341"/>
  <c r="S349"/>
  <c r="S357"/>
  <c r="S365"/>
  <c r="S373"/>
  <c r="S381"/>
  <c r="S389"/>
  <c r="S397"/>
  <c r="S405"/>
  <c r="S413"/>
  <c r="S421"/>
  <c r="S429"/>
  <c r="S437"/>
  <c r="S445"/>
  <c r="S453"/>
  <c r="S461"/>
  <c r="S469"/>
  <c r="S477"/>
  <c r="S485"/>
  <c r="S493"/>
  <c r="S499"/>
  <c r="S39"/>
  <c r="S47"/>
  <c r="S55"/>
  <c r="S71"/>
  <c r="S87"/>
  <c r="S95"/>
  <c r="S99"/>
  <c r="S107"/>
  <c r="S115"/>
  <c r="S123"/>
  <c r="S131"/>
  <c r="S139"/>
  <c r="S147"/>
  <c r="S155"/>
  <c r="S163"/>
  <c r="S171"/>
  <c r="S179"/>
  <c r="S187"/>
  <c r="S38"/>
  <c r="S46"/>
  <c r="S58"/>
  <c r="S66"/>
  <c r="S74"/>
  <c r="S82"/>
  <c r="S90"/>
  <c r="S98"/>
  <c r="S106"/>
  <c r="S114"/>
  <c r="S122"/>
  <c r="S130"/>
  <c r="S138"/>
  <c r="S146"/>
  <c r="S154"/>
  <c r="S162"/>
  <c r="S170"/>
  <c r="S178"/>
  <c r="S190"/>
  <c r="S202"/>
  <c r="S210"/>
  <c r="S218"/>
  <c r="S226"/>
  <c r="S234"/>
  <c r="S238"/>
  <c r="S246"/>
  <c r="S254"/>
  <c r="S262"/>
  <c r="S270"/>
  <c r="S278"/>
  <c r="S286"/>
  <c r="S294"/>
  <c r="S302"/>
  <c r="S310"/>
  <c r="S318"/>
  <c r="S326"/>
  <c r="S334"/>
  <c r="S342"/>
  <c r="S350"/>
  <c r="S358"/>
  <c r="S366"/>
  <c r="S374"/>
  <c r="S382"/>
  <c r="S390"/>
  <c r="S398"/>
  <c r="S406"/>
  <c r="S414"/>
  <c r="S422"/>
  <c r="S430"/>
  <c r="S438"/>
  <c r="S470"/>
  <c r="S482"/>
  <c r="S490"/>
  <c r="S191"/>
  <c r="S207"/>
  <c r="S223"/>
  <c r="S239"/>
  <c r="S263"/>
  <c r="S279"/>
  <c r="S295"/>
  <c r="S311"/>
  <c r="S327"/>
  <c r="S335"/>
  <c r="S351"/>
  <c r="S367"/>
  <c r="S383"/>
  <c r="S399"/>
  <c r="S415"/>
  <c r="S439"/>
  <c r="S455"/>
  <c r="S471"/>
  <c r="S487"/>
  <c r="S495"/>
  <c r="S193"/>
  <c r="S209"/>
  <c r="S225"/>
  <c r="S241"/>
  <c r="S257"/>
  <c r="S273"/>
  <c r="S289"/>
  <c r="S305"/>
  <c r="S321"/>
  <c r="S337"/>
  <c r="S353"/>
  <c r="S369"/>
  <c r="S385"/>
  <c r="S401"/>
  <c r="S417"/>
  <c r="S433"/>
  <c r="S449"/>
  <c r="S465"/>
  <c r="S481"/>
  <c r="S497"/>
  <c r="S63"/>
  <c r="S79"/>
  <c r="S91"/>
  <c r="S103"/>
  <c r="S111"/>
  <c r="S119"/>
  <c r="S127"/>
  <c r="S135"/>
  <c r="S143"/>
  <c r="S151"/>
  <c r="S159"/>
  <c r="S167"/>
  <c r="S175"/>
  <c r="S183"/>
  <c r="S34"/>
  <c r="S42"/>
  <c r="S50"/>
  <c r="S54"/>
  <c r="S62"/>
  <c r="S70"/>
  <c r="S78"/>
  <c r="S86"/>
  <c r="S94"/>
  <c r="S102"/>
  <c r="S110"/>
  <c r="S118"/>
  <c r="S126"/>
  <c r="S134"/>
  <c r="S142"/>
  <c r="S150"/>
  <c r="S158"/>
  <c r="S166"/>
  <c r="S174"/>
  <c r="S182"/>
  <c r="S186"/>
  <c r="S194"/>
  <c r="S198"/>
  <c r="S206"/>
  <c r="S214"/>
  <c r="S222"/>
  <c r="S230"/>
  <c r="S242"/>
  <c r="S250"/>
  <c r="S258"/>
  <c r="S266"/>
  <c r="S274"/>
  <c r="S282"/>
  <c r="S290"/>
  <c r="S298"/>
  <c r="S306"/>
  <c r="S314"/>
  <c r="S322"/>
  <c r="S330"/>
  <c r="S338"/>
  <c r="S346"/>
  <c r="S354"/>
  <c r="S362"/>
  <c r="S370"/>
  <c r="S378"/>
  <c r="S386"/>
  <c r="S394"/>
  <c r="S402"/>
  <c r="S410"/>
  <c r="S418"/>
  <c r="S426"/>
  <c r="S434"/>
  <c r="S442"/>
  <c r="S446"/>
  <c r="S450"/>
  <c r="S454"/>
  <c r="S458"/>
  <c r="S462"/>
  <c r="S466"/>
  <c r="S474"/>
  <c r="S478"/>
  <c r="S486"/>
  <c r="S494"/>
  <c r="S199"/>
  <c r="S215"/>
  <c r="S231"/>
  <c r="S247"/>
  <c r="S255"/>
  <c r="S271"/>
  <c r="S287"/>
  <c r="S303"/>
  <c r="S319"/>
  <c r="S343"/>
  <c r="S359"/>
  <c r="S375"/>
  <c r="S391"/>
  <c r="S407"/>
  <c r="S423"/>
  <c r="S431"/>
  <c r="S447"/>
  <c r="S463"/>
  <c r="S479"/>
  <c r="S500"/>
  <c r="S201"/>
  <c r="S217"/>
  <c r="S233"/>
  <c r="S249"/>
  <c r="S265"/>
  <c r="S281"/>
  <c r="S297"/>
  <c r="S313"/>
  <c r="S329"/>
  <c r="S345"/>
  <c r="S361"/>
  <c r="S377"/>
  <c r="S393"/>
  <c r="S409"/>
  <c r="S425"/>
  <c r="S441"/>
  <c r="S457"/>
  <c r="S473"/>
  <c r="S489"/>
  <c r="S501"/>
  <c r="S29" l="1"/>
</calcChain>
</file>

<file path=xl/sharedStrings.xml><?xml version="1.0" encoding="utf-8"?>
<sst xmlns="http://schemas.openxmlformats.org/spreadsheetml/2006/main" count="220" uniqueCount="111">
  <si>
    <t>point</t>
  </si>
  <si>
    <t>Rawat Jalan</t>
  </si>
  <si>
    <t>No</t>
  </si>
  <si>
    <t>Index</t>
  </si>
  <si>
    <t>SD</t>
  </si>
  <si>
    <t>SMP</t>
  </si>
  <si>
    <t>D1</t>
  </si>
  <si>
    <t>D3</t>
  </si>
  <si>
    <t>D4</t>
  </si>
  <si>
    <t>S1</t>
  </si>
  <si>
    <t>Tidak memiliki jabatan</t>
  </si>
  <si>
    <t>SMU/SMK</t>
  </si>
  <si>
    <t>S2/Dokter Umum/Dokter Gigi/Apoteker/NERS</t>
  </si>
  <si>
    <t>S3/Dokter Spesialis</t>
  </si>
  <si>
    <t>Dokter Subspesialis</t>
  </si>
  <si>
    <t>Kompetensi</t>
  </si>
  <si>
    <t>Risiko</t>
  </si>
  <si>
    <t>Grade 1</t>
  </si>
  <si>
    <t>Grade 2</t>
  </si>
  <si>
    <t>Grade 3</t>
  </si>
  <si>
    <t>Grade 4</t>
  </si>
  <si>
    <t>Emergency</t>
  </si>
  <si>
    <t>Posisi</t>
  </si>
  <si>
    <t>Lama Kerja</t>
  </si>
  <si>
    <t>performance</t>
  </si>
  <si>
    <t>30 &lt; n</t>
  </si>
  <si>
    <t>Max</t>
  </si>
  <si>
    <t>Nilai Dasar</t>
  </si>
  <si>
    <t>Gaji Pokok /100.000</t>
  </si>
  <si>
    <t>Bobot</t>
  </si>
  <si>
    <t>Min</t>
  </si>
  <si>
    <t>Nama</t>
  </si>
  <si>
    <t>Mulai Kerja</t>
  </si>
  <si>
    <t>Gaji Pokok</t>
  </si>
  <si>
    <t>Pendidikan Akhir</t>
  </si>
  <si>
    <t>Performace Unit Kerja</t>
  </si>
  <si>
    <t>Kehadiran Individu</t>
  </si>
  <si>
    <t>Kantor</t>
  </si>
  <si>
    <t>MR</t>
  </si>
  <si>
    <t>Gizi</t>
  </si>
  <si>
    <t>IGD</t>
  </si>
  <si>
    <t>Fisioterapi</t>
  </si>
  <si>
    <t>Kamar Jenazah</t>
  </si>
  <si>
    <t>Laboratorium</t>
  </si>
  <si>
    <t>Radiologi</t>
  </si>
  <si>
    <t>ICU</t>
  </si>
  <si>
    <t>OK</t>
  </si>
  <si>
    <t>Faktor</t>
  </si>
  <si>
    <t>R. Perawatan Mawar</t>
  </si>
  <si>
    <t>R. Perawatan Melati</t>
  </si>
  <si>
    <t>R. Perawatan Kenanga</t>
  </si>
  <si>
    <t>R. Perawatan Bedah</t>
  </si>
  <si>
    <t>Kamar Bersalin</t>
  </si>
  <si>
    <t>Farmasi</t>
  </si>
  <si>
    <t>Kepala Ruangan</t>
  </si>
  <si>
    <t>Kepala Sub Bidang</t>
  </si>
  <si>
    <t>Kepala Sub Bagian</t>
  </si>
  <si>
    <t>Ketua Panitia</t>
  </si>
  <si>
    <t>Kepala Instalasi</t>
  </si>
  <si>
    <t>Kepala Bagian</t>
  </si>
  <si>
    <t>Kepala Bidang</t>
  </si>
  <si>
    <t>Ketua SPI</t>
  </si>
  <si>
    <t>Direktur</t>
  </si>
  <si>
    <t>Komite Medik</t>
  </si>
  <si>
    <t>Jabatan</t>
  </si>
  <si>
    <t>Range Index</t>
  </si>
  <si>
    <t>jml. pasien</t>
  </si>
  <si>
    <t>jml. porsi</t>
  </si>
  <si>
    <t>jml. lembar resep</t>
  </si>
  <si>
    <t>jml. hari rawat</t>
  </si>
  <si>
    <t>jml. pemeriksaan</t>
  </si>
  <si>
    <t>Target</t>
  </si>
  <si>
    <t>Realisasi</t>
  </si>
  <si>
    <t>% dari target</t>
  </si>
  <si>
    <t>Point Kinerja Unit</t>
  </si>
  <si>
    <t>Tanggal Perhitungan</t>
  </si>
  <si>
    <t>Unit Kerja</t>
  </si>
  <si>
    <t>d</t>
  </si>
  <si>
    <t xml:space="preserve">2 &lt; n &lt; 4 </t>
  </si>
  <si>
    <r>
      <t xml:space="preserve">0 &lt;n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2</t>
    </r>
  </si>
  <si>
    <r>
      <t xml:space="preserve">2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4 </t>
    </r>
  </si>
  <si>
    <r>
      <t xml:space="preserve">4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6 </t>
    </r>
  </si>
  <si>
    <r>
      <t xml:space="preserve">6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8 </t>
    </r>
  </si>
  <si>
    <r>
      <t xml:space="preserve">8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10 </t>
    </r>
  </si>
  <si>
    <r>
      <t xml:space="preserve">10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12 </t>
    </r>
  </si>
  <si>
    <r>
      <t xml:space="preserve">12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14 </t>
    </r>
  </si>
  <si>
    <r>
      <t xml:space="preserve">14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16 </t>
    </r>
  </si>
  <si>
    <r>
      <t xml:space="preserve">16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18 </t>
    </r>
  </si>
  <si>
    <r>
      <t xml:space="preserve">18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20 </t>
    </r>
  </si>
  <si>
    <r>
      <t xml:space="preserve">20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22</t>
    </r>
  </si>
  <si>
    <r>
      <t xml:space="preserve">22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24 </t>
    </r>
  </si>
  <si>
    <r>
      <t xml:space="preserve">24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26 </t>
    </r>
  </si>
  <si>
    <r>
      <t xml:space="preserve">26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28 </t>
    </r>
  </si>
  <si>
    <r>
      <t xml:space="preserve">28 &lt; n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30 </t>
    </r>
  </si>
  <si>
    <t>Indikator</t>
  </si>
  <si>
    <t>Rp yang dibagikan</t>
  </si>
  <si>
    <t>Point Index</t>
  </si>
  <si>
    <t>Total Point</t>
  </si>
  <si>
    <t>Anggaran Yang Dibagikan (Rp)</t>
  </si>
  <si>
    <t xml:space="preserve">14 &lt; n &lt; 16 </t>
  </si>
  <si>
    <t>a</t>
  </si>
  <si>
    <t>b</t>
  </si>
  <si>
    <t>c</t>
  </si>
  <si>
    <t>e</t>
  </si>
  <si>
    <t>f</t>
  </si>
  <si>
    <t>g</t>
  </si>
  <si>
    <t>h</t>
  </si>
  <si>
    <t>i</t>
  </si>
  <si>
    <t xml:space="preserve">4 &lt; n &lt; 6 </t>
  </si>
  <si>
    <t>20 &lt; n &lt; 22</t>
  </si>
  <si>
    <t>point per derajat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</si>
</sst>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5" formatCode="_(* #,##0_);_(* \(#,##0\);_(* &quot;-&quot;??_);_(@_)"/>
    <numFmt numFmtId="168" formatCode="0.000"/>
    <numFmt numFmtId="174" formatCode="_(* #,##0.000_);_(* \(#,##0.000\);_(* &quot;-&quot;??_);_(@_)"/>
  </numFmts>
  <fonts count="7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43" fontId="0" fillId="0" borderId="0" xfId="1" applyFont="1"/>
    <xf numFmtId="165" fontId="0" fillId="0" borderId="0" xfId="1" applyNumberFormat="1" applyFont="1"/>
    <xf numFmtId="16" fontId="0" fillId="0" borderId="0" xfId="0" applyNumberFormat="1"/>
    <xf numFmtId="0" fontId="3" fillId="0" borderId="0" xfId="0" applyFont="1"/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0" borderId="0" xfId="0" applyFont="1" applyFill="1"/>
    <xf numFmtId="0" fontId="5" fillId="4" borderId="0" xfId="0" applyFont="1" applyFill="1"/>
    <xf numFmtId="0" fontId="5" fillId="5" borderId="0" xfId="0" applyFont="1" applyFill="1"/>
    <xf numFmtId="16" fontId="5" fillId="2" borderId="0" xfId="0" quotePrefix="1" applyNumberFormat="1" applyFont="1" applyFill="1"/>
    <xf numFmtId="0" fontId="5" fillId="2" borderId="0" xfId="0" quotePrefix="1" applyFont="1" applyFill="1"/>
    <xf numFmtId="0" fontId="6" fillId="5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5" borderId="0" xfId="0" applyFont="1" applyFill="1" applyBorder="1" applyAlignment="1"/>
    <xf numFmtId="0" fontId="6" fillId="2" borderId="0" xfId="0" applyFont="1" applyFill="1" applyBorder="1" applyAlignment="1"/>
    <xf numFmtId="16" fontId="5" fillId="0" borderId="0" xfId="0" quotePrefix="1" applyNumberFormat="1" applyFont="1" applyFill="1"/>
    <xf numFmtId="0" fontId="5" fillId="2" borderId="1" xfId="0" applyFont="1" applyFill="1" applyBorder="1"/>
    <xf numFmtId="0" fontId="5" fillId="3" borderId="1" xfId="0" applyFont="1" applyFill="1" applyBorder="1"/>
    <xf numFmtId="0" fontId="5" fillId="6" borderId="1" xfId="0" applyFont="1" applyFill="1" applyBorder="1"/>
    <xf numFmtId="0" fontId="5" fillId="7" borderId="2" xfId="0" applyFont="1" applyFill="1" applyBorder="1"/>
    <xf numFmtId="0" fontId="5" fillId="0" borderId="2" xfId="0" applyFont="1" applyFill="1" applyBorder="1"/>
    <xf numFmtId="174" fontId="5" fillId="2" borderId="2" xfId="1" applyNumberFormat="1" applyFont="1" applyFill="1" applyBorder="1"/>
    <xf numFmtId="0" fontId="5" fillId="7" borderId="3" xfId="0" applyFont="1" applyFill="1" applyBorder="1"/>
    <xf numFmtId="0" fontId="5" fillId="0" borderId="3" xfId="0" applyFont="1" applyBorder="1"/>
    <xf numFmtId="165" fontId="5" fillId="2" borderId="3" xfId="1" applyNumberFormat="1" applyFont="1" applyFill="1" applyBorder="1"/>
    <xf numFmtId="174" fontId="5" fillId="2" borderId="3" xfId="1" applyNumberFormat="1" applyFont="1" applyFill="1" applyBorder="1"/>
    <xf numFmtId="0" fontId="5" fillId="7" borderId="4" xfId="0" applyFont="1" applyFill="1" applyBorder="1"/>
    <xf numFmtId="0" fontId="5" fillId="0" borderId="4" xfId="0" applyFont="1" applyBorder="1"/>
    <xf numFmtId="43" fontId="5" fillId="2" borderId="4" xfId="1" applyNumberFormat="1" applyFont="1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7" borderId="2" xfId="0" applyFill="1" applyBorder="1"/>
    <xf numFmtId="168" fontId="0" fillId="7" borderId="2" xfId="0" applyNumberFormat="1" applyFill="1" applyBorder="1"/>
    <xf numFmtId="168" fontId="0" fillId="7" borderId="3" xfId="0" applyNumberFormat="1" applyFill="1" applyBorder="1"/>
    <xf numFmtId="168" fontId="0" fillId="7" borderId="4" xfId="0" applyNumberFormat="1" applyFill="1" applyBorder="1"/>
    <xf numFmtId="0" fontId="0" fillId="0" borderId="5" xfId="0" applyBorder="1"/>
    <xf numFmtId="165" fontId="0" fillId="0" borderId="2" xfId="1" applyNumberFormat="1" applyFont="1" applyBorder="1"/>
    <xf numFmtId="165" fontId="0" fillId="7" borderId="2" xfId="1" applyNumberFormat="1" applyFont="1" applyFill="1" applyBorder="1"/>
    <xf numFmtId="0" fontId="0" fillId="0" borderId="6" xfId="0" applyBorder="1"/>
    <xf numFmtId="165" fontId="0" fillId="0" borderId="3" xfId="1" applyNumberFormat="1" applyFont="1" applyBorder="1"/>
    <xf numFmtId="165" fontId="0" fillId="7" borderId="3" xfId="1" applyNumberFormat="1" applyFont="1" applyFill="1" applyBorder="1"/>
    <xf numFmtId="165" fontId="0" fillId="8" borderId="7" xfId="1" applyNumberFormat="1" applyFont="1" applyFill="1" applyBorder="1"/>
    <xf numFmtId="165" fontId="0" fillId="2" borderId="2" xfId="1" applyNumberFormat="1" applyFont="1" applyFill="1" applyBorder="1"/>
    <xf numFmtId="165" fontId="0" fillId="8" borderId="8" xfId="1" applyNumberFormat="1" applyFont="1" applyFill="1" applyBorder="1"/>
    <xf numFmtId="165" fontId="0" fillId="2" borderId="3" xfId="1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165" fontId="3" fillId="3" borderId="1" xfId="1" applyNumberFormat="1" applyFont="1" applyFill="1" applyBorder="1"/>
    <xf numFmtId="0" fontId="3" fillId="0" borderId="9" xfId="0" applyFont="1" applyBorder="1"/>
    <xf numFmtId="0" fontId="0" fillId="0" borderId="9" xfId="0" applyFill="1" applyBorder="1"/>
    <xf numFmtId="0" fontId="0" fillId="2" borderId="10" xfId="0" applyFill="1" applyBorder="1" applyAlignment="1"/>
    <xf numFmtId="0" fontId="0" fillId="2" borderId="11" xfId="0" applyFill="1" applyBorder="1" applyAlignment="1"/>
    <xf numFmtId="0" fontId="0" fillId="0" borderId="12" xfId="0" applyFill="1" applyBorder="1"/>
    <xf numFmtId="0" fontId="0" fillId="2" borderId="13" xfId="0" applyFill="1" applyBorder="1" applyAlignment="1"/>
    <xf numFmtId="0" fontId="0" fillId="2" borderId="14" xfId="0" applyFill="1" applyBorder="1" applyAlignment="1"/>
    <xf numFmtId="0" fontId="0" fillId="3" borderId="15" xfId="0" applyFill="1" applyBorder="1"/>
    <xf numFmtId="0" fontId="0" fillId="3" borderId="16" xfId="0" applyFill="1" applyBorder="1"/>
    <xf numFmtId="165" fontId="0" fillId="0" borderId="17" xfId="1" applyNumberFormat="1" applyFont="1" applyFill="1" applyBorder="1"/>
    <xf numFmtId="165" fontId="0" fillId="7" borderId="4" xfId="1" applyNumberFormat="1" applyFont="1" applyFill="1" applyBorder="1"/>
    <xf numFmtId="43" fontId="3" fillId="3" borderId="1" xfId="1" applyFont="1" applyFill="1" applyBorder="1"/>
    <xf numFmtId="16" fontId="5" fillId="5" borderId="0" xfId="0" quotePrefix="1" applyNumberFormat="1" applyFont="1" applyFill="1"/>
    <xf numFmtId="0" fontId="5" fillId="5" borderId="0" xfId="0" quotePrefix="1" applyFont="1" applyFill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3" fillId="9" borderId="4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3" fillId="9" borderId="18" xfId="0" applyFont="1" applyFill="1" applyBorder="1" applyAlignment="1">
      <alignment wrapText="1"/>
    </xf>
    <xf numFmtId="165" fontId="3" fillId="2" borderId="1" xfId="1" applyNumberFormat="1" applyFont="1" applyFill="1" applyBorder="1" applyAlignment="1">
      <alignment wrapText="1"/>
    </xf>
    <xf numFmtId="165" fontId="3" fillId="2" borderId="19" xfId="1" applyNumberFormat="1" applyFont="1" applyFill="1" applyBorder="1" applyAlignment="1">
      <alignment wrapText="1"/>
    </xf>
    <xf numFmtId="165" fontId="3" fillId="3" borderId="1" xfId="1" applyNumberFormat="1" applyFont="1" applyFill="1" applyBorder="1" applyAlignment="1">
      <alignment wrapText="1"/>
    </xf>
    <xf numFmtId="0" fontId="3" fillId="0" borderId="0" xfId="0" applyFont="1" applyAlignment="1">
      <alignment wrapText="1"/>
    </xf>
    <xf numFmtId="0" fontId="5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20</xdr:row>
      <xdr:rowOff>19050</xdr:rowOff>
    </xdr:from>
    <xdr:to>
      <xdr:col>3</xdr:col>
      <xdr:colOff>571500</xdr:colOff>
      <xdr:row>26</xdr:row>
      <xdr:rowOff>114300</xdr:rowOff>
    </xdr:to>
    <xdr:sp macro="" textlink="">
      <xdr:nvSpPr>
        <xdr:cNvPr id="2" name="Up Arrow Callout 1"/>
        <xdr:cNvSpPr/>
      </xdr:nvSpPr>
      <xdr:spPr>
        <a:xfrm>
          <a:off x="1638300" y="3257550"/>
          <a:ext cx="1924050" cy="1066800"/>
        </a:xfrm>
        <a:prstGeom prst="up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Disesuaikan indikator kinerja tim,</a:t>
          </a:r>
          <a:r>
            <a:rPr lang="en-US" sz="1100" baseline="0">
              <a:solidFill>
                <a:sysClr val="windowText" lastClr="000000"/>
              </a:solidFill>
            </a:rPr>
            <a:t> sebaiknya berbasis BSC (Balance Scored Card)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41"/>
  <sheetViews>
    <sheetView topLeftCell="A6" workbookViewId="0">
      <selection activeCell="B12" sqref="B12"/>
    </sheetView>
  </sheetViews>
  <sheetFormatPr defaultRowHeight="12.75"/>
  <cols>
    <col min="1" max="1" width="18.140625" style="5" bestFit="1" customWidth="1"/>
    <col min="2" max="2" width="9.140625" style="5"/>
    <col min="3" max="3" width="10.42578125" style="5" bestFit="1" customWidth="1"/>
    <col min="4" max="4" width="10.42578125" style="5" customWidth="1"/>
    <col min="5" max="5" width="18.28515625" style="5" customWidth="1"/>
    <col min="6" max="7" width="9.140625" style="5"/>
    <col min="8" max="8" width="25.140625" style="5" customWidth="1"/>
    <col min="9" max="10" width="9.140625" style="5"/>
    <col min="11" max="11" width="23" style="5" bestFit="1" customWidth="1"/>
    <col min="12" max="12" width="9.140625" style="5"/>
    <col min="13" max="13" width="19.7109375" style="5" bestFit="1" customWidth="1"/>
    <col min="14" max="16384" width="9.140625" style="5"/>
  </cols>
  <sheetData>
    <row r="2" spans="1:16">
      <c r="C2" s="76" t="s">
        <v>65</v>
      </c>
      <c r="D2" s="76"/>
    </row>
    <row r="3" spans="1:16">
      <c r="A3" s="18" t="s">
        <v>47</v>
      </c>
      <c r="B3" s="18" t="s">
        <v>29</v>
      </c>
      <c r="C3" s="19" t="s">
        <v>30</v>
      </c>
      <c r="D3" s="19" t="s">
        <v>26</v>
      </c>
      <c r="E3" s="20" t="s">
        <v>110</v>
      </c>
    </row>
    <row r="4" spans="1:16" s="8" customFormat="1">
      <c r="A4" s="21" t="s">
        <v>27</v>
      </c>
      <c r="B4" s="22">
        <v>0</v>
      </c>
      <c r="C4" s="21">
        <v>0</v>
      </c>
      <c r="D4" s="21">
        <f>MAX('perhitungan individu'!$D$32:$D$501)/100000</f>
        <v>80</v>
      </c>
      <c r="E4" s="23">
        <f t="shared" ref="E4:E11" si="0">B4/D4</f>
        <v>0</v>
      </c>
    </row>
    <row r="5" spans="1:16">
      <c r="A5" s="24" t="str">
        <f>C14</f>
        <v>Lama Kerja</v>
      </c>
      <c r="B5" s="25">
        <v>0</v>
      </c>
      <c r="C5" s="24">
        <v>0</v>
      </c>
      <c r="D5" s="24">
        <f>MAX(D15:D41)</f>
        <v>15</v>
      </c>
      <c r="E5" s="26">
        <f t="shared" si="0"/>
        <v>0</v>
      </c>
    </row>
    <row r="6" spans="1:16">
      <c r="A6" s="24" t="str">
        <f>E14</f>
        <v>Kompetensi</v>
      </c>
      <c r="B6" s="25">
        <v>10</v>
      </c>
      <c r="C6" s="24">
        <v>1</v>
      </c>
      <c r="D6" s="24">
        <f>MAX(F15:F41)</f>
        <v>10</v>
      </c>
      <c r="E6" s="26">
        <f t="shared" si="0"/>
        <v>1</v>
      </c>
    </row>
    <row r="7" spans="1:16">
      <c r="A7" s="24" t="str">
        <f>G14</f>
        <v>Risiko</v>
      </c>
      <c r="B7" s="25">
        <v>12</v>
      </c>
      <c r="C7" s="24">
        <v>1</v>
      </c>
      <c r="D7" s="24">
        <f>MAX(I15:I41)</f>
        <v>6</v>
      </c>
      <c r="E7" s="26">
        <f t="shared" si="0"/>
        <v>2</v>
      </c>
    </row>
    <row r="8" spans="1:16">
      <c r="A8" s="24" t="str">
        <f>J14</f>
        <v>Emergency</v>
      </c>
      <c r="B8" s="25">
        <v>12</v>
      </c>
      <c r="C8" s="24">
        <v>1</v>
      </c>
      <c r="D8" s="24">
        <f>MAX(L15:L41)</f>
        <v>6</v>
      </c>
      <c r="E8" s="26">
        <f t="shared" si="0"/>
        <v>2</v>
      </c>
    </row>
    <row r="9" spans="1:16">
      <c r="A9" s="24" t="str">
        <f>M14</f>
        <v>Posisi</v>
      </c>
      <c r="B9" s="25">
        <v>15</v>
      </c>
      <c r="C9" s="24">
        <v>1</v>
      </c>
      <c r="D9" s="24">
        <f>MAX(N15:N41)</f>
        <v>8</v>
      </c>
      <c r="E9" s="27">
        <f t="shared" si="0"/>
        <v>1.875</v>
      </c>
    </row>
    <row r="10" spans="1:16">
      <c r="A10" s="24" t="s">
        <v>74</v>
      </c>
      <c r="B10" s="25">
        <v>0</v>
      </c>
      <c r="C10" s="24">
        <v>3</v>
      </c>
      <c r="D10" s="24">
        <v>5</v>
      </c>
      <c r="E10" s="26">
        <f t="shared" si="0"/>
        <v>0</v>
      </c>
    </row>
    <row r="11" spans="1:16">
      <c r="A11" s="28" t="s">
        <v>36</v>
      </c>
      <c r="B11" s="29">
        <v>20</v>
      </c>
      <c r="C11" s="28">
        <v>0</v>
      </c>
      <c r="D11" s="28">
        <v>100</v>
      </c>
      <c r="E11" s="30">
        <f t="shared" si="0"/>
        <v>0.2</v>
      </c>
    </row>
    <row r="12" spans="1:16">
      <c r="B12" s="19">
        <f>SUM(B4:B11)</f>
        <v>69</v>
      </c>
    </row>
    <row r="14" spans="1:16">
      <c r="A14" s="9" t="s">
        <v>27</v>
      </c>
      <c r="B14" s="9"/>
      <c r="C14" s="7" t="s">
        <v>23</v>
      </c>
      <c r="D14" s="7" t="s">
        <v>3</v>
      </c>
      <c r="E14" s="9" t="s">
        <v>15</v>
      </c>
      <c r="F14" s="9" t="s">
        <v>3</v>
      </c>
      <c r="G14" s="7" t="s">
        <v>16</v>
      </c>
      <c r="H14" s="7"/>
      <c r="I14" s="7" t="s">
        <v>3</v>
      </c>
      <c r="J14" s="9" t="s">
        <v>21</v>
      </c>
      <c r="K14" s="9"/>
      <c r="L14" s="9" t="s">
        <v>3</v>
      </c>
      <c r="M14" s="7" t="s">
        <v>22</v>
      </c>
      <c r="N14" s="7" t="s">
        <v>3</v>
      </c>
      <c r="O14" s="9" t="s">
        <v>24</v>
      </c>
      <c r="P14" s="9"/>
    </row>
    <row r="15" spans="1:16">
      <c r="A15" s="10" t="s">
        <v>28</v>
      </c>
      <c r="B15" s="10"/>
      <c r="C15" s="11" t="s">
        <v>79</v>
      </c>
      <c r="D15" s="6">
        <v>0</v>
      </c>
      <c r="E15" s="10" t="s">
        <v>4</v>
      </c>
      <c r="F15" s="10">
        <v>1</v>
      </c>
      <c r="G15" s="11" t="s">
        <v>17</v>
      </c>
      <c r="H15" s="6" t="s">
        <v>37</v>
      </c>
      <c r="I15" s="6">
        <v>1</v>
      </c>
      <c r="J15" s="10" t="s">
        <v>17</v>
      </c>
      <c r="K15" s="64" t="s">
        <v>37</v>
      </c>
      <c r="L15" s="10">
        <v>1</v>
      </c>
      <c r="M15" s="6" t="s">
        <v>10</v>
      </c>
      <c r="N15" s="6">
        <v>1</v>
      </c>
      <c r="O15" s="64"/>
      <c r="P15" s="10"/>
    </row>
    <row r="16" spans="1:16">
      <c r="A16" s="10"/>
      <c r="B16" s="10"/>
      <c r="C16" s="12" t="s">
        <v>80</v>
      </c>
      <c r="D16" s="6">
        <v>1</v>
      </c>
      <c r="E16" s="10" t="s">
        <v>5</v>
      </c>
      <c r="F16" s="10">
        <v>2</v>
      </c>
      <c r="G16" s="12" t="s">
        <v>17</v>
      </c>
      <c r="H16" s="6" t="s">
        <v>38</v>
      </c>
      <c r="I16" s="6">
        <v>1</v>
      </c>
      <c r="J16" s="10" t="s">
        <v>17</v>
      </c>
      <c r="K16" s="65" t="s">
        <v>38</v>
      </c>
      <c r="L16" s="10">
        <v>1</v>
      </c>
      <c r="M16" s="6" t="s">
        <v>54</v>
      </c>
      <c r="N16" s="6">
        <v>2</v>
      </c>
      <c r="O16" s="65"/>
      <c r="P16" s="10"/>
    </row>
    <row r="17" spans="1:16">
      <c r="A17" s="10"/>
      <c r="B17" s="10"/>
      <c r="C17" s="12" t="s">
        <v>81</v>
      </c>
      <c r="D17" s="6">
        <v>2</v>
      </c>
      <c r="E17" s="10" t="s">
        <v>11</v>
      </c>
      <c r="F17" s="10">
        <v>3</v>
      </c>
      <c r="G17" s="12" t="s">
        <v>17</v>
      </c>
      <c r="H17" s="6" t="s">
        <v>39</v>
      </c>
      <c r="I17" s="6">
        <v>1</v>
      </c>
      <c r="J17" s="10" t="s">
        <v>17</v>
      </c>
      <c r="K17" s="65" t="s">
        <v>39</v>
      </c>
      <c r="L17" s="10">
        <v>1</v>
      </c>
      <c r="M17" s="6" t="s">
        <v>55</v>
      </c>
      <c r="N17" s="6">
        <v>2</v>
      </c>
      <c r="O17" s="65"/>
      <c r="P17" s="10"/>
    </row>
    <row r="18" spans="1:16">
      <c r="A18" s="10"/>
      <c r="B18" s="10"/>
      <c r="C18" s="12" t="s">
        <v>82</v>
      </c>
      <c r="D18" s="6">
        <v>3</v>
      </c>
      <c r="E18" s="10" t="s">
        <v>6</v>
      </c>
      <c r="F18" s="10">
        <v>4</v>
      </c>
      <c r="G18" s="12" t="s">
        <v>17</v>
      </c>
      <c r="H18" s="6" t="s">
        <v>53</v>
      </c>
      <c r="I18" s="6">
        <v>1</v>
      </c>
      <c r="J18" s="10" t="s">
        <v>17</v>
      </c>
      <c r="K18" s="65" t="s">
        <v>53</v>
      </c>
      <c r="L18" s="10">
        <v>1</v>
      </c>
      <c r="M18" s="6" t="s">
        <v>56</v>
      </c>
      <c r="N18" s="6">
        <v>2</v>
      </c>
      <c r="O18" s="65"/>
      <c r="P18" s="10"/>
    </row>
    <row r="19" spans="1:16">
      <c r="A19" s="10"/>
      <c r="B19" s="10"/>
      <c r="C19" s="12" t="s">
        <v>83</v>
      </c>
      <c r="D19" s="6">
        <v>4</v>
      </c>
      <c r="E19" s="10" t="s">
        <v>7</v>
      </c>
      <c r="F19" s="10">
        <v>5</v>
      </c>
      <c r="G19" s="12" t="s">
        <v>18</v>
      </c>
      <c r="H19" s="6" t="s">
        <v>40</v>
      </c>
      <c r="I19" s="6">
        <v>2</v>
      </c>
      <c r="J19" s="10" t="s">
        <v>18</v>
      </c>
      <c r="K19" s="65" t="s">
        <v>1</v>
      </c>
      <c r="L19" s="10">
        <v>2</v>
      </c>
      <c r="M19" s="6" t="s">
        <v>57</v>
      </c>
      <c r="N19" s="6">
        <v>2</v>
      </c>
      <c r="O19" s="65"/>
      <c r="P19" s="10"/>
    </row>
    <row r="20" spans="1:16">
      <c r="A20" s="10"/>
      <c r="B20" s="10"/>
      <c r="C20" s="12" t="s">
        <v>84</v>
      </c>
      <c r="D20" s="6">
        <v>5</v>
      </c>
      <c r="E20" s="10" t="s">
        <v>8</v>
      </c>
      <c r="F20" s="10">
        <v>6</v>
      </c>
      <c r="G20" s="12" t="s">
        <v>18</v>
      </c>
      <c r="H20" s="6" t="s">
        <v>1</v>
      </c>
      <c r="I20" s="6">
        <v>2</v>
      </c>
      <c r="J20" s="10" t="s">
        <v>18</v>
      </c>
      <c r="K20" s="65" t="s">
        <v>41</v>
      </c>
      <c r="L20" s="10">
        <v>2</v>
      </c>
      <c r="M20" s="6" t="s">
        <v>58</v>
      </c>
      <c r="N20" s="6">
        <v>4</v>
      </c>
      <c r="O20" s="65"/>
      <c r="P20" s="10"/>
    </row>
    <row r="21" spans="1:16">
      <c r="A21" s="10"/>
      <c r="B21" s="10"/>
      <c r="C21" s="12" t="s">
        <v>85</v>
      </c>
      <c r="D21" s="6">
        <v>6</v>
      </c>
      <c r="E21" s="10" t="s">
        <v>9</v>
      </c>
      <c r="F21" s="10">
        <v>7</v>
      </c>
      <c r="G21" s="12" t="s">
        <v>18</v>
      </c>
      <c r="H21" s="6" t="s">
        <v>41</v>
      </c>
      <c r="I21" s="6">
        <v>2</v>
      </c>
      <c r="J21" s="10" t="s">
        <v>18</v>
      </c>
      <c r="K21" s="65" t="s">
        <v>42</v>
      </c>
      <c r="L21" s="10">
        <v>2</v>
      </c>
      <c r="M21" s="6" t="s">
        <v>59</v>
      </c>
      <c r="N21" s="6">
        <v>4</v>
      </c>
      <c r="O21" s="65"/>
      <c r="P21" s="10"/>
    </row>
    <row r="22" spans="1:16">
      <c r="A22" s="10"/>
      <c r="B22" s="10"/>
      <c r="C22" s="12" t="s">
        <v>86</v>
      </c>
      <c r="D22" s="6">
        <v>7</v>
      </c>
      <c r="E22" s="10" t="s">
        <v>12</v>
      </c>
      <c r="F22" s="10">
        <v>8</v>
      </c>
      <c r="G22" s="12" t="s">
        <v>18</v>
      </c>
      <c r="H22" s="6" t="s">
        <v>42</v>
      </c>
      <c r="I22" s="6">
        <v>2</v>
      </c>
      <c r="J22" s="10" t="s">
        <v>19</v>
      </c>
      <c r="K22" s="65" t="s">
        <v>48</v>
      </c>
      <c r="L22" s="10">
        <v>4</v>
      </c>
      <c r="M22" s="6" t="s">
        <v>60</v>
      </c>
      <c r="N22" s="6">
        <v>4</v>
      </c>
      <c r="O22" s="65"/>
      <c r="P22" s="10"/>
    </row>
    <row r="23" spans="1:16">
      <c r="A23" s="10"/>
      <c r="B23" s="10"/>
      <c r="C23" s="12" t="s">
        <v>87</v>
      </c>
      <c r="D23" s="6">
        <v>8</v>
      </c>
      <c r="E23" s="10" t="s">
        <v>13</v>
      </c>
      <c r="F23" s="10">
        <v>9</v>
      </c>
      <c r="G23" s="12" t="s">
        <v>19</v>
      </c>
      <c r="H23" s="6" t="s">
        <v>48</v>
      </c>
      <c r="I23" s="6">
        <v>4</v>
      </c>
      <c r="J23" s="10" t="s">
        <v>19</v>
      </c>
      <c r="K23" s="65" t="s">
        <v>49</v>
      </c>
      <c r="L23" s="10">
        <v>4</v>
      </c>
      <c r="M23" s="6" t="s">
        <v>61</v>
      </c>
      <c r="N23" s="6">
        <v>4</v>
      </c>
      <c r="O23" s="65"/>
      <c r="P23" s="10"/>
    </row>
    <row r="24" spans="1:16">
      <c r="A24" s="10"/>
      <c r="B24" s="10"/>
      <c r="C24" s="12" t="s">
        <v>88</v>
      </c>
      <c r="D24" s="6">
        <v>9</v>
      </c>
      <c r="E24" s="10" t="s">
        <v>14</v>
      </c>
      <c r="F24" s="10">
        <v>10</v>
      </c>
      <c r="G24" s="12" t="s">
        <v>19</v>
      </c>
      <c r="H24" s="6" t="s">
        <v>49</v>
      </c>
      <c r="I24" s="6">
        <v>4</v>
      </c>
      <c r="J24" s="10" t="s">
        <v>19</v>
      </c>
      <c r="K24" s="65" t="s">
        <v>50</v>
      </c>
      <c r="L24" s="10">
        <v>4</v>
      </c>
      <c r="M24" s="6" t="s">
        <v>63</v>
      </c>
      <c r="N24" s="6">
        <v>6</v>
      </c>
      <c r="O24" s="65"/>
      <c r="P24" s="10"/>
    </row>
    <row r="25" spans="1:16">
      <c r="A25" s="10"/>
      <c r="B25" s="10"/>
      <c r="C25" s="12" t="s">
        <v>89</v>
      </c>
      <c r="D25" s="6">
        <v>10</v>
      </c>
      <c r="E25" s="10"/>
      <c r="F25" s="10"/>
      <c r="G25" s="12" t="s">
        <v>19</v>
      </c>
      <c r="H25" s="6" t="s">
        <v>50</v>
      </c>
      <c r="I25" s="6">
        <v>4</v>
      </c>
      <c r="J25" s="10" t="s">
        <v>19</v>
      </c>
      <c r="K25" s="65" t="s">
        <v>51</v>
      </c>
      <c r="L25" s="10">
        <v>4</v>
      </c>
      <c r="M25" s="6" t="s">
        <v>62</v>
      </c>
      <c r="N25" s="6">
        <v>8</v>
      </c>
      <c r="O25" s="65"/>
      <c r="P25" s="10"/>
    </row>
    <row r="26" spans="1:16">
      <c r="A26" s="10"/>
      <c r="B26" s="10"/>
      <c r="C26" s="12" t="s">
        <v>90</v>
      </c>
      <c r="D26" s="6">
        <v>11</v>
      </c>
      <c r="E26" s="10"/>
      <c r="F26" s="10"/>
      <c r="G26" s="12" t="s">
        <v>19</v>
      </c>
      <c r="H26" s="6" t="s">
        <v>51</v>
      </c>
      <c r="I26" s="6">
        <v>4</v>
      </c>
      <c r="J26" s="10" t="s">
        <v>19</v>
      </c>
      <c r="K26" s="65" t="s">
        <v>43</v>
      </c>
      <c r="L26" s="10">
        <v>4</v>
      </c>
      <c r="M26" s="6"/>
      <c r="N26" s="6"/>
      <c r="O26" s="65"/>
      <c r="P26" s="10"/>
    </row>
    <row r="27" spans="1:16">
      <c r="A27" s="10"/>
      <c r="B27" s="10"/>
      <c r="C27" s="12" t="s">
        <v>91</v>
      </c>
      <c r="D27" s="6">
        <v>12</v>
      </c>
      <c r="E27" s="10"/>
      <c r="F27" s="10"/>
      <c r="G27" s="12" t="s">
        <v>19</v>
      </c>
      <c r="H27" s="6" t="s">
        <v>43</v>
      </c>
      <c r="I27" s="6">
        <v>4</v>
      </c>
      <c r="J27" s="10" t="s">
        <v>19</v>
      </c>
      <c r="K27" s="65" t="s">
        <v>44</v>
      </c>
      <c r="L27" s="10">
        <v>4</v>
      </c>
      <c r="M27" s="6"/>
      <c r="N27" s="6"/>
      <c r="O27" s="65"/>
      <c r="P27" s="10"/>
    </row>
    <row r="28" spans="1:16">
      <c r="A28" s="10"/>
      <c r="B28" s="10"/>
      <c r="C28" s="12" t="s">
        <v>92</v>
      </c>
      <c r="D28" s="6">
        <v>13</v>
      </c>
      <c r="E28" s="10"/>
      <c r="F28" s="10"/>
      <c r="G28" s="12" t="s">
        <v>19</v>
      </c>
      <c r="H28" s="6" t="s">
        <v>44</v>
      </c>
      <c r="I28" s="6">
        <v>4</v>
      </c>
      <c r="J28" s="10" t="s">
        <v>20</v>
      </c>
      <c r="K28" s="65" t="s">
        <v>45</v>
      </c>
      <c r="L28" s="10">
        <v>6</v>
      </c>
      <c r="M28" s="6"/>
      <c r="N28" s="6"/>
      <c r="O28" s="65"/>
      <c r="P28" s="10"/>
    </row>
    <row r="29" spans="1:16">
      <c r="A29" s="10"/>
      <c r="B29" s="10"/>
      <c r="C29" s="12" t="s">
        <v>93</v>
      </c>
      <c r="D29" s="6">
        <v>14</v>
      </c>
      <c r="E29" s="10"/>
      <c r="F29" s="10"/>
      <c r="G29" s="12" t="s">
        <v>20</v>
      </c>
      <c r="H29" s="6" t="s">
        <v>45</v>
      </c>
      <c r="I29" s="6">
        <v>6</v>
      </c>
      <c r="J29" s="10" t="s">
        <v>20</v>
      </c>
      <c r="K29" s="65" t="s">
        <v>46</v>
      </c>
      <c r="L29" s="10">
        <v>6</v>
      </c>
      <c r="M29" s="6"/>
      <c r="N29" s="6"/>
      <c r="O29" s="65"/>
      <c r="P29" s="10"/>
    </row>
    <row r="30" spans="1:16">
      <c r="A30" s="10"/>
      <c r="B30" s="10"/>
      <c r="C30" s="12" t="s">
        <v>25</v>
      </c>
      <c r="D30" s="6">
        <v>15</v>
      </c>
      <c r="E30" s="10"/>
      <c r="F30" s="10"/>
      <c r="G30" s="12" t="s">
        <v>20</v>
      </c>
      <c r="H30" s="6" t="s">
        <v>46</v>
      </c>
      <c r="I30" s="6">
        <v>6</v>
      </c>
      <c r="J30" s="10" t="s">
        <v>20</v>
      </c>
      <c r="K30" s="65" t="s">
        <v>52</v>
      </c>
      <c r="L30" s="10">
        <v>6</v>
      </c>
      <c r="M30" s="6"/>
      <c r="N30" s="6"/>
      <c r="O30" s="65"/>
      <c r="P30" s="10"/>
    </row>
    <row r="31" spans="1:16">
      <c r="A31" s="10"/>
      <c r="B31" s="10"/>
      <c r="C31" s="12"/>
      <c r="D31" s="6"/>
      <c r="E31" s="10"/>
      <c r="F31" s="10"/>
      <c r="G31" s="12" t="s">
        <v>20</v>
      </c>
      <c r="H31" s="6" t="s">
        <v>52</v>
      </c>
      <c r="I31" s="6">
        <v>6</v>
      </c>
      <c r="J31" s="10" t="s">
        <v>20</v>
      </c>
      <c r="K31" s="65" t="s">
        <v>40</v>
      </c>
      <c r="L31" s="10">
        <v>6</v>
      </c>
      <c r="M31" s="6"/>
      <c r="N31" s="6"/>
      <c r="O31" s="65"/>
      <c r="P31" s="10"/>
    </row>
    <row r="32" spans="1:16" ht="14.25">
      <c r="A32" s="10"/>
      <c r="B32" s="13"/>
      <c r="C32" s="14"/>
      <c r="D32" s="14"/>
      <c r="E32" s="10"/>
      <c r="F32" s="13"/>
      <c r="G32" s="14"/>
      <c r="H32" s="14"/>
      <c r="I32" s="6"/>
      <c r="J32" s="13"/>
      <c r="K32" s="13"/>
      <c r="L32" s="13"/>
      <c r="M32" s="6"/>
      <c r="N32" s="14"/>
      <c r="O32" s="13"/>
      <c r="P32" s="13"/>
    </row>
    <row r="33" spans="1:16" ht="14.25">
      <c r="A33" s="10"/>
      <c r="B33" s="13"/>
      <c r="C33" s="14"/>
      <c r="D33" s="14"/>
      <c r="E33" s="10"/>
      <c r="F33" s="13"/>
      <c r="G33" s="14"/>
      <c r="H33" s="14"/>
      <c r="I33" s="6"/>
      <c r="J33" s="13"/>
      <c r="K33" s="13"/>
      <c r="L33" s="13"/>
      <c r="M33" s="6"/>
      <c r="N33" s="14"/>
      <c r="O33" s="13"/>
      <c r="P33" s="13"/>
    </row>
    <row r="34" spans="1:16" ht="14.25">
      <c r="A34" s="10"/>
      <c r="B34" s="13"/>
      <c r="C34" s="14"/>
      <c r="D34" s="14"/>
      <c r="E34" s="10"/>
      <c r="F34" s="13"/>
      <c r="G34" s="14"/>
      <c r="H34" s="14"/>
      <c r="I34" s="6"/>
      <c r="J34" s="13"/>
      <c r="K34" s="13"/>
      <c r="L34" s="13"/>
      <c r="M34" s="6"/>
      <c r="N34" s="14"/>
      <c r="O34" s="13"/>
      <c r="P34" s="13"/>
    </row>
    <row r="35" spans="1:16" ht="14.25">
      <c r="A35" s="10"/>
      <c r="B35" s="13"/>
      <c r="C35" s="14"/>
      <c r="D35" s="14"/>
      <c r="E35" s="10"/>
      <c r="F35" s="13"/>
      <c r="G35" s="14"/>
      <c r="H35" s="14"/>
      <c r="I35" s="6"/>
      <c r="J35" s="13"/>
      <c r="K35" s="13"/>
      <c r="L35" s="13"/>
      <c r="M35" s="6"/>
      <c r="N35" s="14"/>
      <c r="O35" s="13"/>
      <c r="P35" s="13"/>
    </row>
    <row r="36" spans="1:16" ht="14.25">
      <c r="A36" s="10"/>
      <c r="B36" s="13"/>
      <c r="C36" s="14"/>
      <c r="D36" s="14"/>
      <c r="E36" s="10"/>
      <c r="F36" s="13"/>
      <c r="G36" s="14"/>
      <c r="H36" s="14"/>
      <c r="I36" s="6"/>
      <c r="J36" s="13"/>
      <c r="K36" s="13"/>
      <c r="L36" s="13"/>
      <c r="M36" s="6"/>
      <c r="N36" s="14"/>
      <c r="O36" s="13"/>
      <c r="P36" s="13"/>
    </row>
    <row r="37" spans="1:16" ht="14.25">
      <c r="A37" s="10"/>
      <c r="B37" s="13"/>
      <c r="C37" s="14"/>
      <c r="D37" s="14"/>
      <c r="E37" s="10"/>
      <c r="F37" s="13"/>
      <c r="G37" s="14"/>
      <c r="H37" s="14"/>
      <c r="I37" s="6"/>
      <c r="J37" s="13"/>
      <c r="K37" s="13"/>
      <c r="L37" s="13"/>
      <c r="M37" s="6"/>
      <c r="N37" s="14"/>
      <c r="O37" s="13"/>
      <c r="P37" s="13"/>
    </row>
    <row r="38" spans="1:16" ht="14.25">
      <c r="A38" s="10"/>
      <c r="B38" s="13"/>
      <c r="C38" s="14"/>
      <c r="D38" s="14"/>
      <c r="E38" s="10"/>
      <c r="F38" s="13"/>
      <c r="G38" s="14"/>
      <c r="H38" s="14"/>
      <c r="I38" s="6"/>
      <c r="J38" s="13"/>
      <c r="K38" s="13"/>
      <c r="L38" s="13"/>
      <c r="M38" s="6"/>
      <c r="N38" s="14"/>
      <c r="O38" s="13"/>
      <c r="P38" s="13"/>
    </row>
    <row r="39" spans="1:16" ht="14.25">
      <c r="A39" s="10"/>
      <c r="B39" s="13"/>
      <c r="C39" s="14"/>
      <c r="D39" s="14"/>
      <c r="E39" s="10"/>
      <c r="F39" s="13"/>
      <c r="G39" s="14"/>
      <c r="H39" s="14"/>
      <c r="I39" s="6"/>
      <c r="J39" s="13"/>
      <c r="K39" s="13"/>
      <c r="L39" s="13"/>
      <c r="M39" s="6"/>
      <c r="N39" s="14"/>
      <c r="O39" s="13"/>
      <c r="P39" s="13"/>
    </row>
    <row r="40" spans="1:16" ht="14.25">
      <c r="A40" s="10"/>
      <c r="B40" s="15"/>
      <c r="C40" s="16"/>
      <c r="D40" s="16"/>
      <c r="E40" s="10"/>
      <c r="F40" s="15"/>
      <c r="G40" s="16"/>
      <c r="H40" s="16"/>
      <c r="I40" s="6"/>
      <c r="J40" s="15"/>
      <c r="K40" s="15"/>
      <c r="L40" s="15"/>
      <c r="M40" s="6"/>
      <c r="N40" s="16"/>
      <c r="O40" s="15"/>
      <c r="P40" s="15"/>
    </row>
    <row r="41" spans="1:16" s="8" customFormat="1">
      <c r="G41" s="17"/>
      <c r="K41" s="17"/>
      <c r="O41" s="17"/>
    </row>
  </sheetData>
  <mergeCells count="1">
    <mergeCell ref="C2:D2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3:G20"/>
  <sheetViews>
    <sheetView tabSelected="1" workbookViewId="0">
      <selection activeCell="J9" sqref="J9"/>
    </sheetView>
  </sheetViews>
  <sheetFormatPr defaultRowHeight="12.75"/>
  <cols>
    <col min="2" max="2" width="20.28515625" bestFit="1" customWidth="1"/>
    <col min="3" max="3" width="15.42578125" bestFit="1" customWidth="1"/>
  </cols>
  <sheetData>
    <row r="3" spans="2:7">
      <c r="B3" s="31" t="s">
        <v>76</v>
      </c>
      <c r="C3" s="31" t="s">
        <v>94</v>
      </c>
      <c r="D3" s="31" t="s">
        <v>71</v>
      </c>
      <c r="E3" s="31" t="s">
        <v>72</v>
      </c>
      <c r="F3" s="31" t="s">
        <v>73</v>
      </c>
      <c r="G3" s="31" t="s">
        <v>0</v>
      </c>
    </row>
    <row r="4" spans="2:7">
      <c r="B4" s="66" t="str">
        <f>Index!H15</f>
        <v>Kantor</v>
      </c>
      <c r="C4" s="66"/>
      <c r="D4" s="32"/>
      <c r="E4" s="32"/>
      <c r="F4" s="35"/>
      <c r="G4" s="36">
        <f>AVERAGE(G5:G20)</f>
        <v>4.0588235294117636</v>
      </c>
    </row>
    <row r="5" spans="2:7">
      <c r="B5" s="67" t="str">
        <f>Index!H16</f>
        <v>MR</v>
      </c>
      <c r="C5" s="67" t="s">
        <v>66</v>
      </c>
      <c r="D5" s="33">
        <v>100</v>
      </c>
      <c r="E5" s="33">
        <v>70</v>
      </c>
      <c r="F5" s="44">
        <f>IF(E5=0,0,E5/D5)*100</f>
        <v>70</v>
      </c>
      <c r="G5" s="37">
        <f>((Index!D$10-Index!C$10)/(MAX(F$5:F$20)-MIN(F$5:F$20))*(F5-MIN(F$5:F$20)))+Index!C$10</f>
        <v>3.9411764705882355</v>
      </c>
    </row>
    <row r="6" spans="2:7">
      <c r="B6" s="67" t="str">
        <f>Index!H17</f>
        <v>Gizi</v>
      </c>
      <c r="C6" s="67" t="s">
        <v>67</v>
      </c>
      <c r="D6" s="33">
        <v>100</v>
      </c>
      <c r="E6" s="33">
        <v>110</v>
      </c>
      <c r="F6" s="44">
        <f t="shared" ref="F6:F20" si="0">IF(E6=0,0,E6/D6)*100</f>
        <v>110.00000000000001</v>
      </c>
      <c r="G6" s="37">
        <f>((Index!D$10-Index!C$10)/(MAX(F$5:F$20)-MIN(F$5:F$20))*(F6-MIN(F$5:F$20)))+Index!C$10</f>
        <v>4.882352941176471</v>
      </c>
    </row>
    <row r="7" spans="2:7">
      <c r="B7" s="67" t="str">
        <f>Index!H18</f>
        <v>Farmasi</v>
      </c>
      <c r="C7" s="67" t="s">
        <v>68</v>
      </c>
      <c r="D7" s="33">
        <v>100</v>
      </c>
      <c r="E7" s="33">
        <v>70</v>
      </c>
      <c r="F7" s="44">
        <f t="shared" si="0"/>
        <v>70</v>
      </c>
      <c r="G7" s="37">
        <f>((Index!D$10-Index!C$10)/(MAX(F$5:F$20)-MIN(F$5:F$20))*(F7-MIN(F$5:F$20)))+Index!C$10</f>
        <v>3.9411764705882355</v>
      </c>
    </row>
    <row r="8" spans="2:7">
      <c r="B8" s="67" t="str">
        <f>Index!H19</f>
        <v>IGD</v>
      </c>
      <c r="C8" s="67" t="s">
        <v>66</v>
      </c>
      <c r="D8" s="33">
        <v>100</v>
      </c>
      <c r="E8" s="33">
        <v>70</v>
      </c>
      <c r="F8" s="44">
        <f t="shared" si="0"/>
        <v>70</v>
      </c>
      <c r="G8" s="37">
        <f>((Index!D$10-Index!C$10)/(MAX(F$5:F$20)-MIN(F$5:F$20))*(F8-MIN(F$5:F$20)))+Index!C$10</f>
        <v>3.9411764705882355</v>
      </c>
    </row>
    <row r="9" spans="2:7">
      <c r="B9" s="67" t="str">
        <f>Index!H20</f>
        <v>Rawat Jalan</v>
      </c>
      <c r="C9" s="67" t="s">
        <v>66</v>
      </c>
      <c r="D9" s="33">
        <v>100</v>
      </c>
      <c r="E9" s="33">
        <v>70</v>
      </c>
      <c r="F9" s="44">
        <f t="shared" si="0"/>
        <v>70</v>
      </c>
      <c r="G9" s="37">
        <f>((Index!D$10-Index!C$10)/(MAX(F$5:F$20)-MIN(F$5:F$20))*(F9-MIN(F$5:F$20)))+Index!C$10</f>
        <v>3.9411764705882355</v>
      </c>
    </row>
    <row r="10" spans="2:7">
      <c r="B10" s="67" t="str">
        <f>Index!H21</f>
        <v>Fisioterapi</v>
      </c>
      <c r="C10" s="67" t="s">
        <v>66</v>
      </c>
      <c r="D10" s="33">
        <v>100</v>
      </c>
      <c r="E10" s="33">
        <v>30</v>
      </c>
      <c r="F10" s="44">
        <f t="shared" si="0"/>
        <v>30</v>
      </c>
      <c r="G10" s="37">
        <f>((Index!D$10-Index!C$10)/(MAX(F$5:F$20)-MIN(F$5:F$20))*(F10-MIN(F$5:F$20)))+Index!C$10</f>
        <v>3</v>
      </c>
    </row>
    <row r="11" spans="2:7">
      <c r="B11" s="67" t="str">
        <f>Index!H22</f>
        <v>Kamar Jenazah</v>
      </c>
      <c r="C11" s="67" t="s">
        <v>66</v>
      </c>
      <c r="D11" s="33">
        <v>100</v>
      </c>
      <c r="E11" s="33">
        <v>60</v>
      </c>
      <c r="F11" s="44">
        <f t="shared" si="0"/>
        <v>60</v>
      </c>
      <c r="G11" s="37">
        <f>((Index!D$10-Index!C$10)/(MAX(F$5:F$20)-MIN(F$5:F$20))*(F11-MIN(F$5:F$20)))+Index!C$10</f>
        <v>3.7058823529411766</v>
      </c>
    </row>
    <row r="12" spans="2:7">
      <c r="B12" s="67" t="str">
        <f>Index!H23</f>
        <v>R. Perawatan Mawar</v>
      </c>
      <c r="C12" s="67" t="s">
        <v>69</v>
      </c>
      <c r="D12" s="33">
        <v>100</v>
      </c>
      <c r="E12" s="33">
        <v>115</v>
      </c>
      <c r="F12" s="44">
        <f t="shared" si="0"/>
        <v>114.99999999999999</v>
      </c>
      <c r="G12" s="37">
        <f>((Index!D$10-Index!C$10)/(MAX(F$5:F$20)-MIN(F$5:F$20))*(F12-MIN(F$5:F$20)))+Index!C$10</f>
        <v>5</v>
      </c>
    </row>
    <row r="13" spans="2:7">
      <c r="B13" s="67" t="str">
        <f>Index!H24</f>
        <v>R. Perawatan Melati</v>
      </c>
      <c r="C13" s="67" t="s">
        <v>69</v>
      </c>
      <c r="D13" s="33">
        <v>100</v>
      </c>
      <c r="E13" s="33">
        <v>70</v>
      </c>
      <c r="F13" s="44">
        <f t="shared" si="0"/>
        <v>70</v>
      </c>
      <c r="G13" s="37">
        <f>((Index!D$10-Index!C$10)/(MAX(F$5:F$20)-MIN(F$5:F$20))*(F13-MIN(F$5:F$20)))+Index!C$10</f>
        <v>3.9411764705882355</v>
      </c>
    </row>
    <row r="14" spans="2:7">
      <c r="B14" s="67" t="str">
        <f>Index!H25</f>
        <v>R. Perawatan Kenanga</v>
      </c>
      <c r="C14" s="67" t="s">
        <v>69</v>
      </c>
      <c r="D14" s="33">
        <v>100</v>
      </c>
      <c r="E14" s="33">
        <v>70</v>
      </c>
      <c r="F14" s="44">
        <f t="shared" si="0"/>
        <v>70</v>
      </c>
      <c r="G14" s="37">
        <f>((Index!D$10-Index!C$10)/(MAX(F$5:F$20)-MIN(F$5:F$20))*(F14-MIN(F$5:F$20)))+Index!C$10</f>
        <v>3.9411764705882355</v>
      </c>
    </row>
    <row r="15" spans="2:7">
      <c r="B15" s="67" t="str">
        <f>Index!H26</f>
        <v>R. Perawatan Bedah</v>
      </c>
      <c r="C15" s="67" t="s">
        <v>69</v>
      </c>
      <c r="D15" s="33">
        <v>100</v>
      </c>
      <c r="E15" s="33">
        <v>70</v>
      </c>
      <c r="F15" s="44">
        <f t="shared" si="0"/>
        <v>70</v>
      </c>
      <c r="G15" s="37">
        <f>((Index!D$10-Index!C$10)/(MAX(F$5:F$20)-MIN(F$5:F$20))*(F15-MIN(F$5:F$20)))+Index!C$10</f>
        <v>3.9411764705882355</v>
      </c>
    </row>
    <row r="16" spans="2:7">
      <c r="B16" s="67" t="str">
        <f>Index!H27</f>
        <v>Laboratorium</v>
      </c>
      <c r="C16" s="67" t="s">
        <v>70</v>
      </c>
      <c r="D16" s="33">
        <v>100</v>
      </c>
      <c r="E16" s="33">
        <v>70</v>
      </c>
      <c r="F16" s="44">
        <f t="shared" si="0"/>
        <v>70</v>
      </c>
      <c r="G16" s="37">
        <f>((Index!D$10-Index!C$10)/(MAX(F$5:F$20)-MIN(F$5:F$20))*(F16-MIN(F$5:F$20)))+Index!C$10</f>
        <v>3.9411764705882355</v>
      </c>
    </row>
    <row r="17" spans="2:7">
      <c r="B17" s="67" t="str">
        <f>Index!H28</f>
        <v>Radiologi</v>
      </c>
      <c r="C17" s="67" t="s">
        <v>70</v>
      </c>
      <c r="D17" s="33">
        <v>100</v>
      </c>
      <c r="E17" s="33">
        <v>70</v>
      </c>
      <c r="F17" s="44">
        <f t="shared" si="0"/>
        <v>70</v>
      </c>
      <c r="G17" s="37">
        <f>((Index!D$10-Index!C$10)/(MAX(F$5:F$20)-MIN(F$5:F$20))*(F17-MIN(F$5:F$20)))+Index!C$10</f>
        <v>3.9411764705882355</v>
      </c>
    </row>
    <row r="18" spans="2:7">
      <c r="B18" s="67" t="str">
        <f>Index!H29</f>
        <v>ICU</v>
      </c>
      <c r="C18" s="67" t="s">
        <v>69</v>
      </c>
      <c r="D18" s="33">
        <v>100</v>
      </c>
      <c r="E18" s="33">
        <v>70</v>
      </c>
      <c r="F18" s="44">
        <f t="shared" si="0"/>
        <v>70</v>
      </c>
      <c r="G18" s="37">
        <f>((Index!D$10-Index!C$10)/(MAX(F$5:F$20)-MIN(F$5:F$20))*(F18-MIN(F$5:F$20)))+Index!C$10</f>
        <v>3.9411764705882355</v>
      </c>
    </row>
    <row r="19" spans="2:7">
      <c r="B19" s="67" t="str">
        <f>Index!H30</f>
        <v>OK</v>
      </c>
      <c r="C19" s="67" t="s">
        <v>66</v>
      </c>
      <c r="D19" s="33">
        <v>100</v>
      </c>
      <c r="E19" s="33">
        <v>115</v>
      </c>
      <c r="F19" s="44">
        <f t="shared" si="0"/>
        <v>114.99999999999999</v>
      </c>
      <c r="G19" s="37">
        <f>((Index!D$10-Index!C$10)/(MAX(F$5:F$20)-MIN(F$5:F$20))*(F19-MIN(F$5:F$20)))+Index!C$10</f>
        <v>5</v>
      </c>
    </row>
    <row r="20" spans="2:7">
      <c r="B20" s="68" t="str">
        <f>Index!H31</f>
        <v>Kamar Bersalin</v>
      </c>
      <c r="C20" s="68" t="s">
        <v>69</v>
      </c>
      <c r="D20" s="34">
        <v>100</v>
      </c>
      <c r="E20" s="34">
        <v>70</v>
      </c>
      <c r="F20" s="62">
        <f t="shared" si="0"/>
        <v>70</v>
      </c>
      <c r="G20" s="38">
        <f>((Index!D$10-Index!C$10)/(MAX(F$5:F$20)-MIN(F$5:F$20))*(F20-MIN(F$5:F$20)))+Index!C$10</f>
        <v>3.9411764705882355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01"/>
  <sheetViews>
    <sheetView workbookViewId="0">
      <pane xSplit="2" ySplit="31" topLeftCell="C32" activePane="bottomRight" state="frozenSplit"/>
      <selection activeCell="A26" sqref="A26"/>
      <selection pane="topRight" activeCell="C26" sqref="C26"/>
      <selection pane="bottomLeft" activeCell="A31" sqref="A31"/>
      <selection pane="bottomRight" activeCell="F30" sqref="F30"/>
    </sheetView>
  </sheetViews>
  <sheetFormatPr defaultRowHeight="12.75"/>
  <cols>
    <col min="1" max="1" width="3.42578125" customWidth="1"/>
    <col min="2" max="2" width="27.85546875" customWidth="1"/>
    <col min="3" max="3" width="13" customWidth="1"/>
    <col min="4" max="4" width="12.85546875" bestFit="1" customWidth="1"/>
    <col min="5" max="5" width="11.140625" bestFit="1" customWidth="1"/>
    <col min="6" max="6" width="41" bestFit="1" customWidth="1"/>
    <col min="7" max="7" width="20.28515625" bestFit="1" customWidth="1"/>
    <col min="8" max="8" width="20.85546875" bestFit="1" customWidth="1"/>
    <col min="9" max="9" width="20.85546875" customWidth="1"/>
    <col min="14" max="14" width="9.28515625" bestFit="1" customWidth="1"/>
    <col min="16" max="16" width="11.5703125" bestFit="1" customWidth="1"/>
    <col min="17" max="17" width="10" bestFit="1" customWidth="1"/>
    <col min="18" max="18" width="12" bestFit="1" customWidth="1"/>
    <col min="19" max="19" width="16.42578125" bestFit="1" customWidth="1"/>
  </cols>
  <sheetData>
    <row r="1" spans="5:9" hidden="1">
      <c r="E1" t="s">
        <v>23</v>
      </c>
      <c r="F1" t="s">
        <v>34</v>
      </c>
      <c r="G1" t="s">
        <v>76</v>
      </c>
      <c r="H1" t="s">
        <v>64</v>
      </c>
    </row>
    <row r="2" spans="5:9" hidden="1">
      <c r="E2" s="3" t="str">
        <f>Index!C15</f>
        <v>0 &lt;n &lt; 2</v>
      </c>
      <c r="F2" s="1" t="str">
        <f>Index!E15</f>
        <v>SD</v>
      </c>
      <c r="G2" s="1" t="str">
        <f>Index!H15</f>
        <v>Kantor</v>
      </c>
      <c r="H2" s="2" t="str">
        <f>Index!M15</f>
        <v>Tidak memiliki jabatan</v>
      </c>
      <c r="I2" s="2"/>
    </row>
    <row r="3" spans="5:9" hidden="1">
      <c r="E3" s="3" t="str">
        <f>Index!C16</f>
        <v xml:space="preserve">2 &lt; n &lt; 4 </v>
      </c>
      <c r="F3" s="1" t="str">
        <f>Index!E16</f>
        <v>SMP</v>
      </c>
      <c r="G3" s="1" t="str">
        <f>Index!H16</f>
        <v>MR</v>
      </c>
      <c r="H3" s="2" t="str">
        <f>Index!M16</f>
        <v>Kepala Ruangan</v>
      </c>
      <c r="I3" s="2"/>
    </row>
    <row r="4" spans="5:9" hidden="1">
      <c r="E4" s="3" t="str">
        <f>Index!C17</f>
        <v xml:space="preserve">4 &lt; n &lt; 6 </v>
      </c>
      <c r="F4" s="1" t="str">
        <f>Index!E17</f>
        <v>SMU/SMK</v>
      </c>
      <c r="G4" s="1" t="str">
        <f>Index!H17</f>
        <v>Gizi</v>
      </c>
      <c r="H4" s="2" t="str">
        <f>Index!M17</f>
        <v>Kepala Sub Bidang</v>
      </c>
      <c r="I4" s="2"/>
    </row>
    <row r="5" spans="5:9" hidden="1">
      <c r="E5" s="3" t="str">
        <f>Index!C18</f>
        <v xml:space="preserve">6 &lt; n &lt; 8 </v>
      </c>
      <c r="F5" s="1" t="str">
        <f>Index!E18</f>
        <v>D1</v>
      </c>
      <c r="G5" s="1" t="str">
        <f>Index!H18</f>
        <v>Farmasi</v>
      </c>
      <c r="H5" s="2" t="str">
        <f>Index!M18</f>
        <v>Kepala Sub Bagian</v>
      </c>
      <c r="I5" s="2"/>
    </row>
    <row r="6" spans="5:9" hidden="1">
      <c r="E6" s="3" t="str">
        <f>Index!C19</f>
        <v xml:space="preserve">8 &lt; n &lt; 10 </v>
      </c>
      <c r="F6" s="1" t="str">
        <f>Index!E19</f>
        <v>D3</v>
      </c>
      <c r="G6" s="1" t="str">
        <f>Index!H19</f>
        <v>IGD</v>
      </c>
      <c r="H6" s="2" t="str">
        <f>Index!M19</f>
        <v>Ketua Panitia</v>
      </c>
      <c r="I6" s="2"/>
    </row>
    <row r="7" spans="5:9" hidden="1">
      <c r="E7" s="3" t="str">
        <f>Index!C20</f>
        <v xml:space="preserve">10 &lt; n &lt; 12 </v>
      </c>
      <c r="F7" s="1" t="str">
        <f>Index!E20</f>
        <v>D4</v>
      </c>
      <c r="G7" s="1" t="str">
        <f>Index!H20</f>
        <v>Rawat Jalan</v>
      </c>
      <c r="H7" s="2" t="str">
        <f>Index!M20</f>
        <v>Kepala Instalasi</v>
      </c>
      <c r="I7" s="2"/>
    </row>
    <row r="8" spans="5:9" hidden="1">
      <c r="E8" s="3" t="str">
        <f>Index!C21</f>
        <v xml:space="preserve">12 &lt; n &lt; 14 </v>
      </c>
      <c r="F8" s="1" t="str">
        <f>Index!E21</f>
        <v>S1</v>
      </c>
      <c r="G8" s="1" t="str">
        <f>Index!H21</f>
        <v>Fisioterapi</v>
      </c>
      <c r="H8" s="2" t="str">
        <f>Index!M21</f>
        <v>Kepala Bagian</v>
      </c>
      <c r="I8" s="2"/>
    </row>
    <row r="9" spans="5:9" hidden="1">
      <c r="E9" s="3" t="str">
        <f>Index!C22</f>
        <v xml:space="preserve">14 &lt; n &lt; 16 </v>
      </c>
      <c r="F9" s="1" t="str">
        <f>Index!E22</f>
        <v>S2/Dokter Umum/Dokter Gigi/Apoteker/NERS</v>
      </c>
      <c r="G9" s="1" t="str">
        <f>Index!H22</f>
        <v>Kamar Jenazah</v>
      </c>
      <c r="H9" s="2" t="str">
        <f>Index!M22</f>
        <v>Kepala Bidang</v>
      </c>
      <c r="I9" s="2"/>
    </row>
    <row r="10" spans="5:9" hidden="1">
      <c r="E10" s="3" t="str">
        <f>Index!C23</f>
        <v xml:space="preserve">16 &lt; n &lt; 18 </v>
      </c>
      <c r="F10" s="1" t="str">
        <f>Index!E23</f>
        <v>S3/Dokter Spesialis</v>
      </c>
      <c r="G10" s="1" t="str">
        <f>Index!H23</f>
        <v>R. Perawatan Mawar</v>
      </c>
      <c r="H10" s="2" t="str">
        <f>Index!M23</f>
        <v>Ketua SPI</v>
      </c>
      <c r="I10" s="2"/>
    </row>
    <row r="11" spans="5:9" hidden="1">
      <c r="E11" s="3" t="str">
        <f>Index!C24</f>
        <v xml:space="preserve">18 &lt; n &lt; 20 </v>
      </c>
      <c r="F11" s="1" t="str">
        <f>Index!E24</f>
        <v>Dokter Subspesialis</v>
      </c>
      <c r="G11" s="1" t="str">
        <f>Index!H24</f>
        <v>R. Perawatan Melati</v>
      </c>
      <c r="H11" s="2" t="str">
        <f>Index!M24</f>
        <v>Komite Medik</v>
      </c>
      <c r="I11" s="2"/>
    </row>
    <row r="12" spans="5:9" hidden="1">
      <c r="E12" s="3" t="str">
        <f>Index!C25</f>
        <v>20 &lt; n &lt; 22</v>
      </c>
      <c r="F12" s="1">
        <f>Index!E25</f>
        <v>0</v>
      </c>
      <c r="G12" s="1" t="str">
        <f>Index!H25</f>
        <v>R. Perawatan Kenanga</v>
      </c>
      <c r="H12" s="2" t="str">
        <f>Index!M25</f>
        <v>Direktur</v>
      </c>
      <c r="I12" s="2"/>
    </row>
    <row r="13" spans="5:9" hidden="1">
      <c r="E13" s="3" t="str">
        <f>Index!C26</f>
        <v xml:space="preserve">22 &lt; n &lt; 24 </v>
      </c>
      <c r="F13" s="1">
        <f>Index!E26</f>
        <v>0</v>
      </c>
      <c r="G13" s="1" t="str">
        <f>Index!H26</f>
        <v>R. Perawatan Bedah</v>
      </c>
      <c r="H13" s="2">
        <f>Index!M26</f>
        <v>0</v>
      </c>
      <c r="I13" s="2"/>
    </row>
    <row r="14" spans="5:9" hidden="1">
      <c r="E14" s="3" t="str">
        <f>Index!C27</f>
        <v xml:space="preserve">24 &lt; n &lt; 26 </v>
      </c>
      <c r="F14" s="1">
        <f>Index!E27</f>
        <v>0</v>
      </c>
      <c r="G14" s="1" t="str">
        <f>Index!H27</f>
        <v>Laboratorium</v>
      </c>
      <c r="H14" s="2">
        <f>Index!M27</f>
        <v>0</v>
      </c>
      <c r="I14" s="2"/>
    </row>
    <row r="15" spans="5:9" hidden="1">
      <c r="E15" s="3" t="str">
        <f>Index!C28</f>
        <v xml:space="preserve">26 &lt; n &lt; 28 </v>
      </c>
      <c r="F15" s="1">
        <f>Index!E28</f>
        <v>0</v>
      </c>
      <c r="G15" s="1" t="str">
        <f>Index!H28</f>
        <v>Radiologi</v>
      </c>
      <c r="H15" s="2">
        <f>Index!M28</f>
        <v>0</v>
      </c>
      <c r="I15" s="2"/>
    </row>
    <row r="16" spans="5:9" hidden="1">
      <c r="E16" s="3" t="str">
        <f>Index!C29</f>
        <v xml:space="preserve">28 &lt; n &lt; 30 </v>
      </c>
      <c r="F16" s="1">
        <f>Index!E29</f>
        <v>0</v>
      </c>
      <c r="G16" s="1" t="str">
        <f>Index!H29</f>
        <v>ICU</v>
      </c>
      <c r="H16" s="2">
        <f>Index!M29</f>
        <v>0</v>
      </c>
      <c r="I16" s="2"/>
    </row>
    <row r="17" spans="1:19" hidden="1">
      <c r="E17" s="3" t="str">
        <f>Index!C30</f>
        <v>30 &lt; n</v>
      </c>
      <c r="F17" s="1">
        <f>Index!E30</f>
        <v>0</v>
      </c>
      <c r="G17" s="1" t="str">
        <f>Index!H30</f>
        <v>OK</v>
      </c>
      <c r="H17" s="2">
        <f>Index!M30</f>
        <v>0</v>
      </c>
      <c r="I17" s="2"/>
    </row>
    <row r="18" spans="1:19" hidden="1">
      <c r="E18" s="1">
        <f>Index!C31</f>
        <v>0</v>
      </c>
      <c r="F18" s="1">
        <f>Index!E31</f>
        <v>0</v>
      </c>
      <c r="G18" s="1" t="str">
        <f>Index!H31</f>
        <v>Kamar Bersalin</v>
      </c>
      <c r="H18" s="2">
        <f>Index!M31</f>
        <v>0</v>
      </c>
      <c r="I18" s="2"/>
    </row>
    <row r="19" spans="1:19" hidden="1">
      <c r="E19" s="1">
        <f>Index!C32</f>
        <v>0</v>
      </c>
      <c r="F19" s="1">
        <f>Index!E32</f>
        <v>0</v>
      </c>
      <c r="G19" s="1">
        <f>Index!H32</f>
        <v>0</v>
      </c>
      <c r="H19" s="2">
        <f>Index!M32</f>
        <v>0</v>
      </c>
      <c r="I19" s="2"/>
    </row>
    <row r="20" spans="1:19" hidden="1">
      <c r="E20" s="1">
        <f>Index!C33</f>
        <v>0</v>
      </c>
      <c r="F20" s="1">
        <f>Index!E33</f>
        <v>0</v>
      </c>
      <c r="G20" s="1">
        <f>Index!H33</f>
        <v>0</v>
      </c>
      <c r="H20" s="2">
        <f>Index!M33</f>
        <v>0</v>
      </c>
      <c r="I20" s="2"/>
    </row>
    <row r="21" spans="1:19" hidden="1">
      <c r="E21" s="1">
        <f>Index!C34</f>
        <v>0</v>
      </c>
      <c r="F21" s="1">
        <f>Index!E34</f>
        <v>0</v>
      </c>
      <c r="G21" s="1">
        <f>Index!H34</f>
        <v>0</v>
      </c>
      <c r="H21" s="2">
        <f>Index!M34</f>
        <v>0</v>
      </c>
      <c r="I21" s="2"/>
    </row>
    <row r="22" spans="1:19" hidden="1">
      <c r="E22" s="1">
        <f>Index!C35</f>
        <v>0</v>
      </c>
      <c r="F22" s="1">
        <f>Index!E35</f>
        <v>0</v>
      </c>
      <c r="G22" s="1">
        <f>Index!H35</f>
        <v>0</v>
      </c>
      <c r="H22" s="2">
        <f>Index!M35</f>
        <v>0</v>
      </c>
      <c r="I22" s="2"/>
    </row>
    <row r="23" spans="1:19" hidden="1">
      <c r="E23" s="1">
        <f>Index!C36</f>
        <v>0</v>
      </c>
      <c r="F23" s="1">
        <f>Index!E36</f>
        <v>0</v>
      </c>
      <c r="G23" s="1">
        <f>Index!H36</f>
        <v>0</v>
      </c>
      <c r="H23" s="2">
        <f>Index!M36</f>
        <v>0</v>
      </c>
      <c r="I23" s="2"/>
    </row>
    <row r="24" spans="1:19" hidden="1">
      <c r="E24" s="1">
        <f>Index!C37</f>
        <v>0</v>
      </c>
      <c r="F24" s="1">
        <f>Index!E37</f>
        <v>0</v>
      </c>
      <c r="G24" s="1">
        <f>Index!H37</f>
        <v>0</v>
      </c>
      <c r="H24" s="2">
        <f>Index!M37</f>
        <v>0</v>
      </c>
      <c r="I24" s="2"/>
    </row>
    <row r="25" spans="1:19" ht="13.5" hidden="1" thickBot="1">
      <c r="E25" s="1">
        <f>Index!C38</f>
        <v>0</v>
      </c>
      <c r="F25" s="1">
        <f>Index!E38</f>
        <v>0</v>
      </c>
      <c r="G25" s="1">
        <f>Index!H38</f>
        <v>0</v>
      </c>
      <c r="H25" s="2">
        <f>Index!M38</f>
        <v>0</v>
      </c>
      <c r="I25" s="2"/>
    </row>
    <row r="26" spans="1:19">
      <c r="A26" s="54" t="s">
        <v>75</v>
      </c>
      <c r="B26" s="55"/>
    </row>
    <row r="27" spans="1:19">
      <c r="A27" s="59"/>
      <c r="B27" s="56"/>
    </row>
    <row r="28" spans="1:19">
      <c r="A28" s="57" t="s">
        <v>98</v>
      </c>
      <c r="B28" s="58"/>
    </row>
    <row r="29" spans="1:19" s="4" customFormat="1" ht="13.5" thickBot="1">
      <c r="A29" s="60"/>
      <c r="B29" s="61">
        <v>3000000</v>
      </c>
      <c r="J29" s="77" t="s">
        <v>96</v>
      </c>
      <c r="K29" s="77"/>
      <c r="L29" s="77"/>
      <c r="M29" s="77"/>
      <c r="N29" s="77"/>
      <c r="O29" s="77"/>
      <c r="P29" s="77"/>
      <c r="Q29" s="77"/>
      <c r="R29" s="63">
        <f>SUM(R32:R501)</f>
        <v>397.125</v>
      </c>
      <c r="S29" s="51">
        <f>SUM(S32:S501)</f>
        <v>2999999.9999999995</v>
      </c>
    </row>
    <row r="30" spans="1:19" s="4" customFormat="1">
      <c r="A30" s="52"/>
      <c r="B30" s="53"/>
      <c r="J30" s="49" t="str">
        <f>"max = "&amp;Index!$B4</f>
        <v>max = 0</v>
      </c>
      <c r="K30" s="49" t="str">
        <f>"max = "&amp;Index!$B5</f>
        <v>max = 0</v>
      </c>
      <c r="L30" s="49" t="str">
        <f>"max = "&amp;Index!$B6</f>
        <v>max = 10</v>
      </c>
      <c r="M30" s="49" t="str">
        <f>"max = "&amp;Index!$B7</f>
        <v>max = 12</v>
      </c>
      <c r="N30" s="49" t="str">
        <f>"max = "&amp;Index!$B8</f>
        <v>max = 12</v>
      </c>
      <c r="O30" s="49" t="str">
        <f>"max = "&amp;Index!$B9</f>
        <v>max = 15</v>
      </c>
      <c r="P30" s="49" t="str">
        <f>"max = "&amp;Index!$B10</f>
        <v>max = 0</v>
      </c>
      <c r="Q30" s="49" t="str">
        <f>"max = "&amp;Index!$B11</f>
        <v>max = 20</v>
      </c>
      <c r="R30" s="49" t="str">
        <f>"max = "&amp;Index!$B12</f>
        <v>max = 69</v>
      </c>
      <c r="S30" s="50"/>
    </row>
    <row r="31" spans="1:19" s="75" customFormat="1" ht="38.25">
      <c r="A31" s="69" t="s">
        <v>2</v>
      </c>
      <c r="B31" s="69" t="s">
        <v>31</v>
      </c>
      <c r="C31" s="70" t="s">
        <v>32</v>
      </c>
      <c r="D31" s="70" t="s">
        <v>33</v>
      </c>
      <c r="E31" s="70" t="s">
        <v>23</v>
      </c>
      <c r="F31" s="70" t="s">
        <v>34</v>
      </c>
      <c r="G31" s="70" t="s">
        <v>76</v>
      </c>
      <c r="H31" s="70" t="s">
        <v>64</v>
      </c>
      <c r="I31" s="71" t="s">
        <v>36</v>
      </c>
      <c r="J31" s="72" t="s">
        <v>27</v>
      </c>
      <c r="K31" s="72" t="s">
        <v>23</v>
      </c>
      <c r="L31" s="72" t="s">
        <v>15</v>
      </c>
      <c r="M31" s="72" t="s">
        <v>16</v>
      </c>
      <c r="N31" s="72" t="s">
        <v>21</v>
      </c>
      <c r="O31" s="72" t="s">
        <v>22</v>
      </c>
      <c r="P31" s="72" t="s">
        <v>35</v>
      </c>
      <c r="Q31" s="72" t="s">
        <v>36</v>
      </c>
      <c r="R31" s="73" t="s">
        <v>97</v>
      </c>
      <c r="S31" s="74" t="s">
        <v>95</v>
      </c>
    </row>
    <row r="32" spans="1:19">
      <c r="A32" s="39"/>
      <c r="B32" s="32" t="s">
        <v>100</v>
      </c>
      <c r="C32" s="32"/>
      <c r="D32" s="40">
        <v>8000000</v>
      </c>
      <c r="E32" s="32" t="s">
        <v>78</v>
      </c>
      <c r="F32" s="32" t="s">
        <v>12</v>
      </c>
      <c r="G32" s="32" t="s">
        <v>37</v>
      </c>
      <c r="H32" s="32" t="s">
        <v>62</v>
      </c>
      <c r="I32" s="32">
        <v>100</v>
      </c>
      <c r="J32" s="41">
        <f>(D32/100000)*Index!$E$4</f>
        <v>0</v>
      </c>
      <c r="K32" s="41">
        <f>SUMIF(Index!$C$15:$C$40,'perhitungan individu'!E32,Index!$D$15:$D$40)*Index!$E$5</f>
        <v>0</v>
      </c>
      <c r="L32" s="41">
        <f>SUMIF(Index!$E$15:$E$40,'perhitungan individu'!F32,Index!F$15:F$40)*Index!$E$6</f>
        <v>8</v>
      </c>
      <c r="M32" s="41">
        <f>SUMIF(Index!$H$15:$H$40,'perhitungan individu'!$G32,Index!$I$15:$I$40)*Index!$E$7</f>
        <v>2</v>
      </c>
      <c r="N32" s="41">
        <f>SUMIF(Index!$K$15:$K$40,'perhitungan individu'!$G32,Index!$L$15:$L$40)*Index!$E$8</f>
        <v>2</v>
      </c>
      <c r="O32" s="41">
        <f>SUMIF(Index!$M$15:$M$40,'perhitungan individu'!H32,Index!$N$15:$N$40)*Index!$E$9</f>
        <v>15</v>
      </c>
      <c r="P32" s="44">
        <f>SUMIF('Kinera Unit Kerja'!$B$4:$B$20,'perhitungan individu'!$G32,'Kinera Unit Kerja'!$G$4:$G$20)*Index!$E$10</f>
        <v>0</v>
      </c>
      <c r="Q32" s="41">
        <f>I32*Index!$E$11</f>
        <v>20</v>
      </c>
      <c r="R32" s="45">
        <f>SUM(J32:Q32)</f>
        <v>47</v>
      </c>
      <c r="S32" s="46">
        <f t="shared" ref="S32:S95" si="0">$B$29/$R$29*$R32</f>
        <v>355051.93578847969</v>
      </c>
    </row>
    <row r="33" spans="1:19">
      <c r="A33" s="42"/>
      <c r="B33" s="33" t="s">
        <v>101</v>
      </c>
      <c r="C33" s="33"/>
      <c r="D33" s="43">
        <v>900000</v>
      </c>
      <c r="E33" s="33" t="s">
        <v>99</v>
      </c>
      <c r="F33" s="33" t="s">
        <v>5</v>
      </c>
      <c r="G33" s="33" t="s">
        <v>37</v>
      </c>
      <c r="H33" s="33" t="s">
        <v>10</v>
      </c>
      <c r="I33" s="33">
        <v>100</v>
      </c>
      <c r="J33" s="44">
        <f>(D33/100000)*Index!$E$4</f>
        <v>0</v>
      </c>
      <c r="K33" s="44">
        <f>SUMIF(Index!$C$15:$C$40,'perhitungan individu'!E33,Index!$D$15:$D$40)*Index!$E$5</f>
        <v>0</v>
      </c>
      <c r="L33" s="44">
        <f>SUMIF(Index!$E$15:$E$40,'perhitungan individu'!F33,Index!F$15:F$40)*Index!$E$6</f>
        <v>2</v>
      </c>
      <c r="M33" s="44">
        <f>SUMIF(Index!$H$15:$H$40,'perhitungan individu'!$G33,Index!$I$15:$I$40)*Index!$E$7</f>
        <v>2</v>
      </c>
      <c r="N33" s="44">
        <f>SUMIF(Index!$K$15:$K$40,'perhitungan individu'!$G33,Index!$L$15:$L$40)*Index!$E$8</f>
        <v>2</v>
      </c>
      <c r="O33" s="44">
        <f>SUMIF(Index!$M$15:$M$40,'perhitungan individu'!H33,Index!$N$15:$N$40)*Index!$E$9</f>
        <v>1.875</v>
      </c>
      <c r="P33" s="44">
        <f>SUMIF('Kinera Unit Kerja'!$B$4:$B$20,'perhitungan individu'!$G33,'Kinera Unit Kerja'!$G$4:$G$20)*Index!$E$10</f>
        <v>0</v>
      </c>
      <c r="Q33" s="44">
        <f>I33*Index!$E$11</f>
        <v>20</v>
      </c>
      <c r="R33" s="47">
        <f>SUM(J33:Q33)</f>
        <v>27.875</v>
      </c>
      <c r="S33" s="48">
        <f t="shared" si="0"/>
        <v>210576.01510859301</v>
      </c>
    </row>
    <row r="34" spans="1:19">
      <c r="A34" s="42"/>
      <c r="B34" s="33" t="s">
        <v>102</v>
      </c>
      <c r="C34" s="33"/>
      <c r="D34" s="43">
        <v>2500000</v>
      </c>
      <c r="E34" s="33" t="s">
        <v>108</v>
      </c>
      <c r="F34" s="33" t="s">
        <v>9</v>
      </c>
      <c r="G34" s="33" t="s">
        <v>37</v>
      </c>
      <c r="H34" s="33" t="s">
        <v>59</v>
      </c>
      <c r="I34" s="33">
        <v>100</v>
      </c>
      <c r="J34" s="44">
        <f>(D34/100000)*Index!$E$4</f>
        <v>0</v>
      </c>
      <c r="K34" s="44">
        <f>SUMIF(Index!$C$15:$C$40,'perhitungan individu'!E34,Index!$D$15:$D$40)*Index!$E$5</f>
        <v>0</v>
      </c>
      <c r="L34" s="44">
        <f>SUMIF(Index!$E$15:$E$40,'perhitungan individu'!F34,Index!F$15:F$40)*Index!$E$6</f>
        <v>7</v>
      </c>
      <c r="M34" s="44">
        <f>SUMIF(Index!$H$15:$H$40,'perhitungan individu'!$G34,Index!$I$15:$I$40)*Index!$E$7</f>
        <v>2</v>
      </c>
      <c r="N34" s="44">
        <f>SUMIF(Index!$K$15:$K$40,'perhitungan individu'!$G34,Index!$L$15:$L$40)*Index!$E$8</f>
        <v>2</v>
      </c>
      <c r="O34" s="44">
        <f>SUMIF(Index!$M$15:$M$40,'perhitungan individu'!H34,Index!$N$15:$N$40)*Index!$E$9</f>
        <v>7.5</v>
      </c>
      <c r="P34" s="44">
        <f>SUMIF('Kinera Unit Kerja'!$B$4:$B$20,'perhitungan individu'!$G34,'Kinera Unit Kerja'!$G$4:$G$20)*Index!$E$10</f>
        <v>0</v>
      </c>
      <c r="Q34" s="44">
        <f>I34*Index!$E$11</f>
        <v>20</v>
      </c>
      <c r="R34" s="47">
        <f>SUM(J34:Q34)</f>
        <v>38.5</v>
      </c>
      <c r="S34" s="48">
        <f t="shared" si="0"/>
        <v>290840.41548630787</v>
      </c>
    </row>
    <row r="35" spans="1:19">
      <c r="A35" s="42"/>
      <c r="B35" s="33" t="s">
        <v>77</v>
      </c>
      <c r="C35" s="33"/>
      <c r="D35" s="43">
        <v>2500000</v>
      </c>
      <c r="E35" s="33" t="s">
        <v>108</v>
      </c>
      <c r="F35" s="33" t="s">
        <v>9</v>
      </c>
      <c r="G35" s="33" t="s">
        <v>40</v>
      </c>
      <c r="H35" s="33" t="s">
        <v>54</v>
      </c>
      <c r="I35" s="33">
        <v>100</v>
      </c>
      <c r="J35" s="44">
        <f>(D35/100000)*Index!$E$4</f>
        <v>0</v>
      </c>
      <c r="K35" s="44">
        <f>SUMIF(Index!$C$15:$C$40,'perhitungan individu'!E35,Index!$D$15:$D$40)*Index!$E$5</f>
        <v>0</v>
      </c>
      <c r="L35" s="44">
        <f>SUMIF(Index!$E$15:$E$40,'perhitungan individu'!F35,Index!F$15:F$40)*Index!$E$6</f>
        <v>7</v>
      </c>
      <c r="M35" s="44">
        <f>SUMIF(Index!$H$15:$H$40,'perhitungan individu'!$G35,Index!$I$15:$I$40)*Index!$E$7</f>
        <v>4</v>
      </c>
      <c r="N35" s="44">
        <f>SUMIF(Index!$K$15:$K$40,'perhitungan individu'!$G35,Index!$L$15:$L$40)*Index!$E$8</f>
        <v>12</v>
      </c>
      <c r="O35" s="44">
        <f>SUMIF(Index!$M$15:$M$40,'perhitungan individu'!H35,Index!$N$15:$N$40)*Index!$E$9</f>
        <v>3.75</v>
      </c>
      <c r="P35" s="44">
        <f>SUMIF('Kinera Unit Kerja'!$B$4:$B$20,'perhitungan individu'!$G35,'Kinera Unit Kerja'!$G$4:$G$20)*Index!$E$10</f>
        <v>0</v>
      </c>
      <c r="Q35" s="44">
        <f>I35*Index!$E$11</f>
        <v>20</v>
      </c>
      <c r="R35" s="47">
        <f t="shared" ref="R35:R98" si="1">SUM(J35:Q35)</f>
        <v>46.75</v>
      </c>
      <c r="S35" s="48">
        <f t="shared" si="0"/>
        <v>353163.36166194524</v>
      </c>
    </row>
    <row r="36" spans="1:19">
      <c r="A36" s="42"/>
      <c r="B36" s="33" t="s">
        <v>103</v>
      </c>
      <c r="C36" s="33"/>
      <c r="D36" s="43">
        <v>2500000</v>
      </c>
      <c r="E36" s="33" t="s">
        <v>108</v>
      </c>
      <c r="F36" s="33" t="s">
        <v>9</v>
      </c>
      <c r="G36" s="33" t="s">
        <v>45</v>
      </c>
      <c r="H36" s="33" t="s">
        <v>10</v>
      </c>
      <c r="I36" s="33">
        <v>100</v>
      </c>
      <c r="J36" s="44">
        <f>(D36/100000)*Index!$E$4</f>
        <v>0</v>
      </c>
      <c r="K36" s="44">
        <f>SUMIF(Index!$C$15:$C$40,'perhitungan individu'!E36,Index!$D$15:$D$40)*Index!$E$5</f>
        <v>0</v>
      </c>
      <c r="L36" s="44">
        <f>SUMIF(Index!$E$15:$E$40,'perhitungan individu'!F36,Index!F$15:F$40)*Index!$E$6</f>
        <v>7</v>
      </c>
      <c r="M36" s="44">
        <f>SUMIF(Index!$H$15:$H$40,'perhitungan individu'!$G36,Index!$I$15:$I$40)*Index!$E$7</f>
        <v>12</v>
      </c>
      <c r="N36" s="44">
        <f>SUMIF(Index!$K$15:$K$40,'perhitungan individu'!$G36,Index!$L$15:$L$40)*Index!$E$8</f>
        <v>12</v>
      </c>
      <c r="O36" s="44">
        <f>SUMIF(Index!$M$15:$M$40,'perhitungan individu'!H36,Index!$N$15:$N$40)*Index!$E$9</f>
        <v>1.875</v>
      </c>
      <c r="P36" s="44">
        <f>SUMIF('Kinera Unit Kerja'!$B$4:$B$20,'perhitungan individu'!$G36,'Kinera Unit Kerja'!$G$4:$G$20)*Index!$E$10</f>
        <v>0</v>
      </c>
      <c r="Q36" s="44">
        <f>I36*Index!$E$11</f>
        <v>20</v>
      </c>
      <c r="R36" s="47">
        <f t="shared" si="1"/>
        <v>52.875</v>
      </c>
      <c r="S36" s="48">
        <f t="shared" si="0"/>
        <v>399433.4277620397</v>
      </c>
    </row>
    <row r="37" spans="1:19">
      <c r="A37" s="42"/>
      <c r="B37" s="33" t="s">
        <v>104</v>
      </c>
      <c r="C37" s="33"/>
      <c r="D37" s="43">
        <v>2500000</v>
      </c>
      <c r="E37" s="33" t="s">
        <v>108</v>
      </c>
      <c r="F37" s="33" t="s">
        <v>9</v>
      </c>
      <c r="G37" s="33" t="s">
        <v>45</v>
      </c>
      <c r="H37" s="33" t="s">
        <v>54</v>
      </c>
      <c r="I37" s="33">
        <v>70</v>
      </c>
      <c r="J37" s="44">
        <f>(D37/100000)*Index!$E$4</f>
        <v>0</v>
      </c>
      <c r="K37" s="44">
        <f>SUMIF(Index!$C$15:$C$40,'perhitungan individu'!E37,Index!$D$15:$D$40)*Index!$E$5</f>
        <v>0</v>
      </c>
      <c r="L37" s="44">
        <f>SUMIF(Index!$E$15:$E$40,'perhitungan individu'!F37,Index!F$15:F$40)*Index!$E$6</f>
        <v>7</v>
      </c>
      <c r="M37" s="44">
        <f>SUMIF(Index!$H$15:$H$40,'perhitungan individu'!$G37,Index!$I$15:$I$40)*Index!$E$7</f>
        <v>12</v>
      </c>
      <c r="N37" s="44">
        <f>SUMIF(Index!$K$15:$K$40,'perhitungan individu'!$G37,Index!$L$15:$L$40)*Index!$E$8</f>
        <v>12</v>
      </c>
      <c r="O37" s="44">
        <f>SUMIF(Index!$M$15:$M$40,'perhitungan individu'!H37,Index!$N$15:$N$40)*Index!$E$9</f>
        <v>3.75</v>
      </c>
      <c r="P37" s="44">
        <f>SUMIF('Kinera Unit Kerja'!$B$4:$B$20,'perhitungan individu'!$G37,'Kinera Unit Kerja'!$G$4:$G$20)*Index!$E$10</f>
        <v>0</v>
      </c>
      <c r="Q37" s="44">
        <f>I37*Index!$E$11</f>
        <v>14</v>
      </c>
      <c r="R37" s="47">
        <f t="shared" si="1"/>
        <v>48.75</v>
      </c>
      <c r="S37" s="48">
        <f t="shared" si="0"/>
        <v>368271.95467422099</v>
      </c>
    </row>
    <row r="38" spans="1:19">
      <c r="A38" s="42"/>
      <c r="B38" s="33" t="s">
        <v>105</v>
      </c>
      <c r="C38" s="33"/>
      <c r="D38" s="43">
        <v>900000</v>
      </c>
      <c r="E38" s="33" t="s">
        <v>25</v>
      </c>
      <c r="F38" s="33" t="s">
        <v>5</v>
      </c>
      <c r="G38" s="33" t="s">
        <v>37</v>
      </c>
      <c r="H38" s="33" t="s">
        <v>10</v>
      </c>
      <c r="I38" s="33">
        <v>100</v>
      </c>
      <c r="J38" s="44">
        <f>(D38/100000)*Index!$E$4</f>
        <v>0</v>
      </c>
      <c r="K38" s="44">
        <f>SUMIF(Index!$C$15:$C$40,'perhitungan individu'!E38,Index!$D$15:$D$40)*Index!$E$5</f>
        <v>0</v>
      </c>
      <c r="L38" s="44">
        <f>SUMIF(Index!$E$15:$E$40,'perhitungan individu'!F38,Index!F$15:F$40)*Index!$E$6</f>
        <v>2</v>
      </c>
      <c r="M38" s="44">
        <f>SUMIF(Index!$H$15:$H$40,'perhitungan individu'!$G38,Index!$I$15:$I$40)*Index!$E$7</f>
        <v>2</v>
      </c>
      <c r="N38" s="44">
        <f>SUMIF(Index!$K$15:$K$40,'perhitungan individu'!$G38,Index!$L$15:$L$40)*Index!$E$8</f>
        <v>2</v>
      </c>
      <c r="O38" s="44">
        <f>SUMIF(Index!$M$15:$M$40,'perhitungan individu'!H38,Index!$N$15:$N$40)*Index!$E$9</f>
        <v>1.875</v>
      </c>
      <c r="P38" s="44">
        <f>SUMIF('Kinera Unit Kerja'!$B$4:$B$20,'perhitungan individu'!$G38,'Kinera Unit Kerja'!$G$4:$G$20)*Index!$E$10</f>
        <v>0</v>
      </c>
      <c r="Q38" s="44">
        <f>I38*Index!$E$11</f>
        <v>20</v>
      </c>
      <c r="R38" s="47">
        <f t="shared" si="1"/>
        <v>27.875</v>
      </c>
      <c r="S38" s="48">
        <f t="shared" si="0"/>
        <v>210576.01510859301</v>
      </c>
    </row>
    <row r="39" spans="1:19">
      <c r="A39" s="42"/>
      <c r="B39" s="33" t="s">
        <v>106</v>
      </c>
      <c r="C39" s="33"/>
      <c r="D39" s="43">
        <v>2500000</v>
      </c>
      <c r="E39" s="33" t="s">
        <v>109</v>
      </c>
      <c r="F39" s="33" t="s">
        <v>9</v>
      </c>
      <c r="G39" s="33" t="s">
        <v>1</v>
      </c>
      <c r="H39" s="33" t="s">
        <v>59</v>
      </c>
      <c r="I39" s="33">
        <v>80</v>
      </c>
      <c r="J39" s="44">
        <f>(D39/100000)*Index!$E$4</f>
        <v>0</v>
      </c>
      <c r="K39" s="44">
        <f>SUMIF(Index!$C$15:$C$40,'perhitungan individu'!E39,Index!$D$15:$D$40)*Index!$E$5</f>
        <v>0</v>
      </c>
      <c r="L39" s="44">
        <f>SUMIF(Index!$E$15:$E$40,'perhitungan individu'!F39,Index!F$15:F$40)*Index!$E$6</f>
        <v>7</v>
      </c>
      <c r="M39" s="44">
        <f>SUMIF(Index!$H$15:$H$40,'perhitungan individu'!$G39,Index!$I$15:$I$40)*Index!$E$7</f>
        <v>4</v>
      </c>
      <c r="N39" s="44">
        <f>SUMIF(Index!$K$15:$K$40,'perhitungan individu'!$G39,Index!$L$15:$L$40)*Index!$E$8</f>
        <v>4</v>
      </c>
      <c r="O39" s="44">
        <f>SUMIF(Index!$M$15:$M$40,'perhitungan individu'!H39,Index!$N$15:$N$40)*Index!$E$9</f>
        <v>7.5</v>
      </c>
      <c r="P39" s="44">
        <f>SUMIF('Kinera Unit Kerja'!$B$4:$B$20,'perhitungan individu'!$G39,'Kinera Unit Kerja'!$G$4:$G$20)*Index!$E$10</f>
        <v>0</v>
      </c>
      <c r="Q39" s="44">
        <f>I39*Index!$E$11</f>
        <v>16</v>
      </c>
      <c r="R39" s="47">
        <f t="shared" si="1"/>
        <v>38.5</v>
      </c>
      <c r="S39" s="48">
        <f t="shared" si="0"/>
        <v>290840.41548630787</v>
      </c>
    </row>
    <row r="40" spans="1:19">
      <c r="A40" s="42"/>
      <c r="B40" s="33" t="s">
        <v>107</v>
      </c>
      <c r="C40" s="33"/>
      <c r="D40" s="43">
        <v>8000000</v>
      </c>
      <c r="E40" s="33" t="s">
        <v>25</v>
      </c>
      <c r="F40" s="33" t="s">
        <v>14</v>
      </c>
      <c r="G40" s="33" t="s">
        <v>46</v>
      </c>
      <c r="H40" s="33" t="s">
        <v>62</v>
      </c>
      <c r="I40" s="33">
        <v>100</v>
      </c>
      <c r="J40" s="44">
        <f>(D40/100000)*Index!$E$4</f>
        <v>0</v>
      </c>
      <c r="K40" s="44">
        <f>SUMIF(Index!$C$15:$C$40,'perhitungan individu'!E40,Index!$D$15:$D$40)*Index!$E$5</f>
        <v>0</v>
      </c>
      <c r="L40" s="44">
        <f>SUMIF(Index!$E$15:$E$40,'perhitungan individu'!F40,Index!F$15:F$40)*Index!$E$6</f>
        <v>10</v>
      </c>
      <c r="M40" s="44">
        <f>SUMIF(Index!$H$15:$H$40,'perhitungan individu'!$G40,Index!$I$15:$I$40)*Index!$E$7</f>
        <v>12</v>
      </c>
      <c r="N40" s="44">
        <f>SUMIF(Index!$K$15:$K$40,'perhitungan individu'!$G40,Index!$L$15:$L$40)*Index!$E$8</f>
        <v>12</v>
      </c>
      <c r="O40" s="44">
        <f>SUMIF(Index!$M$15:$M$40,'perhitungan individu'!H40,Index!$N$15:$N$40)*Index!$E$9</f>
        <v>15</v>
      </c>
      <c r="P40" s="44">
        <f>SUMIF('Kinera Unit Kerja'!$B$4:$B$20,'perhitungan individu'!$G40,'Kinera Unit Kerja'!$G$4:$G$20)*Index!$E$10</f>
        <v>0</v>
      </c>
      <c r="Q40" s="44">
        <f>I40*Index!$E$11</f>
        <v>20</v>
      </c>
      <c r="R40" s="47">
        <f t="shared" si="1"/>
        <v>69</v>
      </c>
      <c r="S40" s="48">
        <f t="shared" si="0"/>
        <v>521246.45892351278</v>
      </c>
    </row>
    <row r="41" spans="1:19">
      <c r="A41" s="42"/>
      <c r="B41" s="33"/>
      <c r="C41" s="33"/>
      <c r="D41" s="43"/>
      <c r="E41" s="33"/>
      <c r="F41" s="33"/>
      <c r="G41" s="33"/>
      <c r="H41" s="33"/>
      <c r="I41" s="33"/>
      <c r="J41" s="44">
        <f>(D41/100000)*Index!$E$4</f>
        <v>0</v>
      </c>
      <c r="K41" s="44">
        <f>SUMIF(Index!$C$15:$C$40,'perhitungan individu'!E41,Index!$D$15:$D$40)*Index!$E$5</f>
        <v>0</v>
      </c>
      <c r="L41" s="44">
        <f>SUMIF(Index!$E$15:$E$40,'perhitungan individu'!F41,Index!F$15:F$40)*Index!$E$6</f>
        <v>0</v>
      </c>
      <c r="M41" s="44">
        <f>SUMIF(Index!$H$15:$H$40,'perhitungan individu'!$G41,Index!$I$15:$I$40)*Index!$E$7</f>
        <v>0</v>
      </c>
      <c r="N41" s="44">
        <f>SUMIF(Index!$K$15:$K$40,'perhitungan individu'!$G41,Index!$L$15:$L$40)*Index!$E$8</f>
        <v>0</v>
      </c>
      <c r="O41" s="44">
        <f>SUMIF(Index!$M$15:$M$40,'perhitungan individu'!H41,Index!$N$15:$N$40)*Index!$E$9</f>
        <v>0</v>
      </c>
      <c r="P41" s="44">
        <f>SUMIF('Kinera Unit Kerja'!$B$4:$B$20,'perhitungan individu'!$G41,'Kinera Unit Kerja'!$G$4:$G$20)*Index!$E$10</f>
        <v>0</v>
      </c>
      <c r="Q41" s="44">
        <f>I41*Index!$E$11</f>
        <v>0</v>
      </c>
      <c r="R41" s="47">
        <f t="shared" si="1"/>
        <v>0</v>
      </c>
      <c r="S41" s="48">
        <f t="shared" si="0"/>
        <v>0</v>
      </c>
    </row>
    <row r="42" spans="1:19">
      <c r="A42" s="42"/>
      <c r="B42" s="33"/>
      <c r="C42" s="33"/>
      <c r="D42" s="43"/>
      <c r="E42" s="33"/>
      <c r="F42" s="33"/>
      <c r="G42" s="33"/>
      <c r="H42" s="33"/>
      <c r="I42" s="33"/>
      <c r="J42" s="44">
        <f>(D42/100000)*Index!$E$4</f>
        <v>0</v>
      </c>
      <c r="K42" s="44">
        <f>SUMIF(Index!$C$15:$C$40,'perhitungan individu'!E42,Index!$D$15:$D$40)*Index!$E$5</f>
        <v>0</v>
      </c>
      <c r="L42" s="44">
        <f>SUMIF(Index!$E$15:$E$40,'perhitungan individu'!F42,Index!F$15:F$40)*Index!$E$6</f>
        <v>0</v>
      </c>
      <c r="M42" s="44">
        <f>SUMIF(Index!$H$15:$H$40,'perhitungan individu'!$G42,Index!$I$15:$I$40)*Index!$E$7</f>
        <v>0</v>
      </c>
      <c r="N42" s="44">
        <f>SUMIF(Index!$K$15:$K$40,'perhitungan individu'!$G42,Index!$L$15:$L$40)*Index!$E$8</f>
        <v>0</v>
      </c>
      <c r="O42" s="44">
        <f>SUMIF(Index!$M$15:$M$40,'perhitungan individu'!H42,Index!$N$15:$N$40)*Index!$E$9</f>
        <v>0</v>
      </c>
      <c r="P42" s="44">
        <f>SUMIF('Kinera Unit Kerja'!$B$4:$B$20,'perhitungan individu'!$G42,'Kinera Unit Kerja'!$G$4:$G$20)*Index!$E$10</f>
        <v>0</v>
      </c>
      <c r="Q42" s="44">
        <f>I42*Index!$E$11</f>
        <v>0</v>
      </c>
      <c r="R42" s="47">
        <f t="shared" si="1"/>
        <v>0</v>
      </c>
      <c r="S42" s="48">
        <f t="shared" si="0"/>
        <v>0</v>
      </c>
    </row>
    <row r="43" spans="1:19">
      <c r="A43" s="42"/>
      <c r="B43" s="33"/>
      <c r="C43" s="33"/>
      <c r="D43" s="43"/>
      <c r="E43" s="33"/>
      <c r="F43" s="33"/>
      <c r="G43" s="33"/>
      <c r="H43" s="33"/>
      <c r="I43" s="33"/>
      <c r="J43" s="44">
        <f>(D43/100000)*Index!$E$4</f>
        <v>0</v>
      </c>
      <c r="K43" s="44">
        <f>SUMIF(Index!$C$15:$C$40,'perhitungan individu'!E43,Index!$D$15:$D$40)*Index!$E$5</f>
        <v>0</v>
      </c>
      <c r="L43" s="44">
        <f>SUMIF(Index!$E$15:$E$40,'perhitungan individu'!F43,Index!F$15:F$40)*Index!$E$6</f>
        <v>0</v>
      </c>
      <c r="M43" s="44">
        <f>SUMIF(Index!$H$15:$H$40,'perhitungan individu'!$G43,Index!$I$15:$I$40)*Index!$E$7</f>
        <v>0</v>
      </c>
      <c r="N43" s="44">
        <f>SUMIF(Index!$K$15:$K$40,'perhitungan individu'!$G43,Index!$L$15:$L$40)*Index!$E$8</f>
        <v>0</v>
      </c>
      <c r="O43" s="44">
        <f>SUMIF(Index!$M$15:$M$40,'perhitungan individu'!H43,Index!$N$15:$N$40)*Index!$E$9</f>
        <v>0</v>
      </c>
      <c r="P43" s="44">
        <f>SUMIF('Kinera Unit Kerja'!$B$4:$B$20,'perhitungan individu'!$G43,'Kinera Unit Kerja'!$G$4:$G$20)*Index!$E$10</f>
        <v>0</v>
      </c>
      <c r="Q43" s="44">
        <f>I43*Index!$E$11</f>
        <v>0</v>
      </c>
      <c r="R43" s="47">
        <f t="shared" si="1"/>
        <v>0</v>
      </c>
      <c r="S43" s="48">
        <f t="shared" si="0"/>
        <v>0</v>
      </c>
    </row>
    <row r="44" spans="1:19">
      <c r="A44" s="42"/>
      <c r="B44" s="33"/>
      <c r="C44" s="33"/>
      <c r="D44" s="43"/>
      <c r="E44" s="33"/>
      <c r="F44" s="33"/>
      <c r="G44" s="33"/>
      <c r="H44" s="33"/>
      <c r="I44" s="33"/>
      <c r="J44" s="44">
        <f>(D44/100000)*Index!$E$4</f>
        <v>0</v>
      </c>
      <c r="K44" s="44">
        <f>SUMIF(Index!$C$15:$C$40,'perhitungan individu'!E44,Index!$D$15:$D$40)*Index!$E$5</f>
        <v>0</v>
      </c>
      <c r="L44" s="44">
        <f>SUMIF(Index!$E$15:$E$40,'perhitungan individu'!F44,Index!F$15:F$40)*Index!$E$6</f>
        <v>0</v>
      </c>
      <c r="M44" s="44">
        <f>SUMIF(Index!$H$15:$H$40,'perhitungan individu'!$G44,Index!$I$15:$I$40)*Index!$E$7</f>
        <v>0</v>
      </c>
      <c r="N44" s="44">
        <f>SUMIF(Index!$K$15:$K$40,'perhitungan individu'!$G44,Index!$L$15:$L$40)*Index!$E$8</f>
        <v>0</v>
      </c>
      <c r="O44" s="44">
        <f>SUMIF(Index!$M$15:$M$40,'perhitungan individu'!H44,Index!$N$15:$N$40)*Index!$E$9</f>
        <v>0</v>
      </c>
      <c r="P44" s="44">
        <f>SUMIF('Kinera Unit Kerja'!$B$4:$B$20,'perhitungan individu'!$G44,'Kinera Unit Kerja'!$G$4:$G$20)*Index!$E$10</f>
        <v>0</v>
      </c>
      <c r="Q44" s="44">
        <f>I44*Index!$E$11</f>
        <v>0</v>
      </c>
      <c r="R44" s="47">
        <f t="shared" si="1"/>
        <v>0</v>
      </c>
      <c r="S44" s="48">
        <f t="shared" si="0"/>
        <v>0</v>
      </c>
    </row>
    <row r="45" spans="1:19">
      <c r="A45" s="42"/>
      <c r="B45" s="33"/>
      <c r="C45" s="33"/>
      <c r="D45" s="43"/>
      <c r="E45" s="33"/>
      <c r="F45" s="33"/>
      <c r="G45" s="33"/>
      <c r="H45" s="33"/>
      <c r="I45" s="33"/>
      <c r="J45" s="44">
        <f>(D45/100000)*Index!$E$4</f>
        <v>0</v>
      </c>
      <c r="K45" s="44">
        <f>SUMIF(Index!$C$15:$C$40,'perhitungan individu'!E45,Index!$D$15:$D$40)*Index!$E$5</f>
        <v>0</v>
      </c>
      <c r="L45" s="44">
        <f>SUMIF(Index!$E$15:$E$40,'perhitungan individu'!F45,Index!F$15:F$40)*Index!$E$6</f>
        <v>0</v>
      </c>
      <c r="M45" s="44">
        <f>SUMIF(Index!$H$15:$H$40,'perhitungan individu'!$G45,Index!$I$15:$I$40)*Index!$E$7</f>
        <v>0</v>
      </c>
      <c r="N45" s="44">
        <f>SUMIF(Index!$K$15:$K$40,'perhitungan individu'!$G45,Index!$L$15:$L$40)*Index!$E$8</f>
        <v>0</v>
      </c>
      <c r="O45" s="44">
        <f>SUMIF(Index!$M$15:$M$40,'perhitungan individu'!H45,Index!$N$15:$N$40)*Index!$E$9</f>
        <v>0</v>
      </c>
      <c r="P45" s="44">
        <f>SUMIF('Kinera Unit Kerja'!$B$4:$B$20,'perhitungan individu'!$G45,'Kinera Unit Kerja'!$G$4:$G$20)*Index!$E$10</f>
        <v>0</v>
      </c>
      <c r="Q45" s="44">
        <f>I45*Index!$E$11</f>
        <v>0</v>
      </c>
      <c r="R45" s="47">
        <f t="shared" si="1"/>
        <v>0</v>
      </c>
      <c r="S45" s="48">
        <f t="shared" si="0"/>
        <v>0</v>
      </c>
    </row>
    <row r="46" spans="1:19">
      <c r="A46" s="42"/>
      <c r="B46" s="33"/>
      <c r="C46" s="33"/>
      <c r="D46" s="43"/>
      <c r="E46" s="33"/>
      <c r="F46" s="33"/>
      <c r="G46" s="33"/>
      <c r="H46" s="33"/>
      <c r="I46" s="33"/>
      <c r="J46" s="44">
        <f>(D46/100000)*Index!$E$4</f>
        <v>0</v>
      </c>
      <c r="K46" s="44">
        <f>SUMIF(Index!$C$15:$C$40,'perhitungan individu'!E46,Index!$D$15:$D$40)*Index!$E$5</f>
        <v>0</v>
      </c>
      <c r="L46" s="44">
        <f>SUMIF(Index!$E$15:$E$40,'perhitungan individu'!F46,Index!F$15:F$40)*Index!$E$6</f>
        <v>0</v>
      </c>
      <c r="M46" s="44">
        <f>SUMIF(Index!$H$15:$H$40,'perhitungan individu'!$G46,Index!$I$15:$I$40)*Index!$E$7</f>
        <v>0</v>
      </c>
      <c r="N46" s="44">
        <f>SUMIF(Index!$K$15:$K$40,'perhitungan individu'!$G46,Index!$L$15:$L$40)*Index!$E$8</f>
        <v>0</v>
      </c>
      <c r="O46" s="44">
        <f>SUMIF(Index!$M$15:$M$40,'perhitungan individu'!H46,Index!$N$15:$N$40)*Index!$E$9</f>
        <v>0</v>
      </c>
      <c r="P46" s="44">
        <f>SUMIF('Kinera Unit Kerja'!$B$4:$B$20,'perhitungan individu'!$G46,'Kinera Unit Kerja'!$G$4:$G$20)*Index!$E$10</f>
        <v>0</v>
      </c>
      <c r="Q46" s="44">
        <f>I46*Index!$E$11</f>
        <v>0</v>
      </c>
      <c r="R46" s="47">
        <f t="shared" si="1"/>
        <v>0</v>
      </c>
      <c r="S46" s="48">
        <f t="shared" si="0"/>
        <v>0</v>
      </c>
    </row>
    <row r="47" spans="1:19">
      <c r="A47" s="42"/>
      <c r="B47" s="33"/>
      <c r="C47" s="33"/>
      <c r="D47" s="43"/>
      <c r="E47" s="33"/>
      <c r="F47" s="33"/>
      <c r="G47" s="33"/>
      <c r="H47" s="33"/>
      <c r="I47" s="33"/>
      <c r="J47" s="44">
        <f>(D47/100000)*Index!$E$4</f>
        <v>0</v>
      </c>
      <c r="K47" s="44">
        <f>SUMIF(Index!$C$15:$C$40,'perhitungan individu'!E47,Index!$D$15:$D$40)*Index!$E$5</f>
        <v>0</v>
      </c>
      <c r="L47" s="44">
        <f>SUMIF(Index!$E$15:$E$40,'perhitungan individu'!F47,Index!F$15:F$40)*Index!$E$6</f>
        <v>0</v>
      </c>
      <c r="M47" s="44">
        <f>SUMIF(Index!$H$15:$H$40,'perhitungan individu'!$G47,Index!$I$15:$I$40)*Index!$E$7</f>
        <v>0</v>
      </c>
      <c r="N47" s="44">
        <f>SUMIF(Index!$K$15:$K$40,'perhitungan individu'!$G47,Index!$L$15:$L$40)*Index!$E$8</f>
        <v>0</v>
      </c>
      <c r="O47" s="44">
        <f>SUMIF(Index!$M$15:$M$40,'perhitungan individu'!H47,Index!$N$15:$N$40)*Index!$E$9</f>
        <v>0</v>
      </c>
      <c r="P47" s="44">
        <f>SUMIF('Kinera Unit Kerja'!$B$4:$B$20,'perhitungan individu'!$G47,'Kinera Unit Kerja'!$G$4:$G$20)*Index!$E$10</f>
        <v>0</v>
      </c>
      <c r="Q47" s="44">
        <f>I47*Index!$E$11</f>
        <v>0</v>
      </c>
      <c r="R47" s="47">
        <f t="shared" si="1"/>
        <v>0</v>
      </c>
      <c r="S47" s="48">
        <f t="shared" si="0"/>
        <v>0</v>
      </c>
    </row>
    <row r="48" spans="1:19">
      <c r="A48" s="42"/>
      <c r="B48" s="33"/>
      <c r="C48" s="33"/>
      <c r="D48" s="43"/>
      <c r="E48" s="33"/>
      <c r="F48" s="33"/>
      <c r="G48" s="33"/>
      <c r="H48" s="33"/>
      <c r="I48" s="33"/>
      <c r="J48" s="44">
        <f>(D48/100000)*Index!$E$4</f>
        <v>0</v>
      </c>
      <c r="K48" s="44">
        <f>SUMIF(Index!$C$15:$C$40,'perhitungan individu'!E48,Index!$D$15:$D$40)*Index!$E$5</f>
        <v>0</v>
      </c>
      <c r="L48" s="44">
        <f>SUMIF(Index!$E$15:$E$40,'perhitungan individu'!F48,Index!F$15:F$40)*Index!$E$6</f>
        <v>0</v>
      </c>
      <c r="M48" s="44">
        <f>SUMIF(Index!$H$15:$H$40,'perhitungan individu'!$G48,Index!$I$15:$I$40)*Index!$E$7</f>
        <v>0</v>
      </c>
      <c r="N48" s="44">
        <f>SUMIF(Index!$K$15:$K$40,'perhitungan individu'!$G48,Index!$L$15:$L$40)*Index!$E$8</f>
        <v>0</v>
      </c>
      <c r="O48" s="44">
        <f>SUMIF(Index!$M$15:$M$40,'perhitungan individu'!H48,Index!$N$15:$N$40)*Index!$E$9</f>
        <v>0</v>
      </c>
      <c r="P48" s="44">
        <f>SUMIF('Kinera Unit Kerja'!$B$4:$B$20,'perhitungan individu'!$G48,'Kinera Unit Kerja'!$G$4:$G$20)*Index!$E$10</f>
        <v>0</v>
      </c>
      <c r="Q48" s="44">
        <f>I48*Index!$E$11</f>
        <v>0</v>
      </c>
      <c r="R48" s="47">
        <f t="shared" si="1"/>
        <v>0</v>
      </c>
      <c r="S48" s="48">
        <f t="shared" si="0"/>
        <v>0</v>
      </c>
    </row>
    <row r="49" spans="1:19">
      <c r="A49" s="42"/>
      <c r="B49" s="33"/>
      <c r="C49" s="33"/>
      <c r="D49" s="43"/>
      <c r="E49" s="33"/>
      <c r="F49" s="33"/>
      <c r="G49" s="33"/>
      <c r="H49" s="33"/>
      <c r="I49" s="33"/>
      <c r="J49" s="44">
        <f>(D49/100000)*Index!$E$4</f>
        <v>0</v>
      </c>
      <c r="K49" s="44">
        <f>SUMIF(Index!$C$15:$C$40,'perhitungan individu'!E49,Index!$D$15:$D$40)*Index!$E$5</f>
        <v>0</v>
      </c>
      <c r="L49" s="44">
        <f>SUMIF(Index!$E$15:$E$40,'perhitungan individu'!F49,Index!F$15:F$40)*Index!$E$6</f>
        <v>0</v>
      </c>
      <c r="M49" s="44">
        <f>SUMIF(Index!$H$15:$H$40,'perhitungan individu'!$G49,Index!$I$15:$I$40)*Index!$E$7</f>
        <v>0</v>
      </c>
      <c r="N49" s="44">
        <f>SUMIF(Index!$K$15:$K$40,'perhitungan individu'!$G49,Index!$L$15:$L$40)*Index!$E$8</f>
        <v>0</v>
      </c>
      <c r="O49" s="44">
        <f>SUMIF(Index!$M$15:$M$40,'perhitungan individu'!H49,Index!$N$15:$N$40)*Index!$E$9</f>
        <v>0</v>
      </c>
      <c r="P49" s="44">
        <f>SUMIF('Kinera Unit Kerja'!$B$4:$B$20,'perhitungan individu'!$G49,'Kinera Unit Kerja'!$G$4:$G$20)*Index!$E$10</f>
        <v>0</v>
      </c>
      <c r="Q49" s="44">
        <f>I49*Index!$E$11</f>
        <v>0</v>
      </c>
      <c r="R49" s="47">
        <f t="shared" si="1"/>
        <v>0</v>
      </c>
      <c r="S49" s="48">
        <f t="shared" si="0"/>
        <v>0</v>
      </c>
    </row>
    <row r="50" spans="1:19">
      <c r="A50" s="42"/>
      <c r="B50" s="33"/>
      <c r="C50" s="33"/>
      <c r="D50" s="43"/>
      <c r="E50" s="33"/>
      <c r="F50" s="33"/>
      <c r="G50" s="33"/>
      <c r="H50" s="33"/>
      <c r="I50" s="33"/>
      <c r="J50" s="44">
        <f>(D50/100000)*Index!$E$4</f>
        <v>0</v>
      </c>
      <c r="K50" s="44">
        <f>SUMIF(Index!$C$15:$C$40,'perhitungan individu'!E50,Index!$D$15:$D$40)*Index!$E$5</f>
        <v>0</v>
      </c>
      <c r="L50" s="44">
        <f>SUMIF(Index!$E$15:$E$40,'perhitungan individu'!F50,Index!F$15:F$40)*Index!$E$6</f>
        <v>0</v>
      </c>
      <c r="M50" s="44">
        <f>SUMIF(Index!$H$15:$H$40,'perhitungan individu'!$G50,Index!$I$15:$I$40)*Index!$E$7</f>
        <v>0</v>
      </c>
      <c r="N50" s="44">
        <f>SUMIF(Index!$K$15:$K$40,'perhitungan individu'!$G50,Index!$L$15:$L$40)*Index!$E$8</f>
        <v>0</v>
      </c>
      <c r="O50" s="44">
        <f>SUMIF(Index!$M$15:$M$40,'perhitungan individu'!H50,Index!$N$15:$N$40)*Index!$E$9</f>
        <v>0</v>
      </c>
      <c r="P50" s="44">
        <f>SUMIF('Kinera Unit Kerja'!$B$4:$B$20,'perhitungan individu'!$G50,'Kinera Unit Kerja'!$G$4:$G$20)*Index!$E$10</f>
        <v>0</v>
      </c>
      <c r="Q50" s="44">
        <f>I50*Index!$E$11</f>
        <v>0</v>
      </c>
      <c r="R50" s="47">
        <f t="shared" si="1"/>
        <v>0</v>
      </c>
      <c r="S50" s="48">
        <f t="shared" si="0"/>
        <v>0</v>
      </c>
    </row>
    <row r="51" spans="1:19">
      <c r="A51" s="42"/>
      <c r="B51" s="33"/>
      <c r="C51" s="33"/>
      <c r="D51" s="43"/>
      <c r="E51" s="33"/>
      <c r="F51" s="33"/>
      <c r="G51" s="33"/>
      <c r="H51" s="33"/>
      <c r="I51" s="33"/>
      <c r="J51" s="44">
        <f>(D51/100000)*Index!$E$4</f>
        <v>0</v>
      </c>
      <c r="K51" s="44">
        <f>SUMIF(Index!$C$15:$C$40,'perhitungan individu'!E51,Index!$D$15:$D$40)*Index!$E$5</f>
        <v>0</v>
      </c>
      <c r="L51" s="44">
        <f>SUMIF(Index!$E$15:$E$40,'perhitungan individu'!F51,Index!F$15:F$40)*Index!$E$6</f>
        <v>0</v>
      </c>
      <c r="M51" s="44">
        <f>SUMIF(Index!$H$15:$H$40,'perhitungan individu'!$G51,Index!$I$15:$I$40)*Index!$E$7</f>
        <v>0</v>
      </c>
      <c r="N51" s="44">
        <f>SUMIF(Index!$K$15:$K$40,'perhitungan individu'!$G51,Index!$L$15:$L$40)*Index!$E$8</f>
        <v>0</v>
      </c>
      <c r="O51" s="44">
        <f>SUMIF(Index!$M$15:$M$40,'perhitungan individu'!H51,Index!$N$15:$N$40)*Index!$E$9</f>
        <v>0</v>
      </c>
      <c r="P51" s="44">
        <f>SUMIF('Kinera Unit Kerja'!$B$4:$B$20,'perhitungan individu'!$G51,'Kinera Unit Kerja'!$G$4:$G$20)*Index!$E$10</f>
        <v>0</v>
      </c>
      <c r="Q51" s="44">
        <f>I51*Index!$E$11</f>
        <v>0</v>
      </c>
      <c r="R51" s="47">
        <f t="shared" si="1"/>
        <v>0</v>
      </c>
      <c r="S51" s="48">
        <f t="shared" si="0"/>
        <v>0</v>
      </c>
    </row>
    <row r="52" spans="1:19">
      <c r="A52" s="42"/>
      <c r="B52" s="33"/>
      <c r="C52" s="33"/>
      <c r="D52" s="43"/>
      <c r="E52" s="33"/>
      <c r="F52" s="33"/>
      <c r="G52" s="33"/>
      <c r="H52" s="33"/>
      <c r="I52" s="33"/>
      <c r="J52" s="44">
        <f>(D52/100000)*Index!$E$4</f>
        <v>0</v>
      </c>
      <c r="K52" s="44">
        <f>SUMIF(Index!$C$15:$C$40,'perhitungan individu'!E52,Index!$D$15:$D$40)*Index!$E$5</f>
        <v>0</v>
      </c>
      <c r="L52" s="44">
        <f>SUMIF(Index!$E$15:$E$40,'perhitungan individu'!F52,Index!F$15:F$40)*Index!$E$6</f>
        <v>0</v>
      </c>
      <c r="M52" s="44">
        <f>SUMIF(Index!$H$15:$H$40,'perhitungan individu'!$G52,Index!$I$15:$I$40)*Index!$E$7</f>
        <v>0</v>
      </c>
      <c r="N52" s="44">
        <f>SUMIF(Index!$K$15:$K$40,'perhitungan individu'!$G52,Index!$L$15:$L$40)*Index!$E$8</f>
        <v>0</v>
      </c>
      <c r="O52" s="44">
        <f>SUMIF(Index!$M$15:$M$40,'perhitungan individu'!H52,Index!$N$15:$N$40)*Index!$E$9</f>
        <v>0</v>
      </c>
      <c r="P52" s="44">
        <f>SUMIF('Kinera Unit Kerja'!$B$4:$B$20,'perhitungan individu'!$G52,'Kinera Unit Kerja'!$G$4:$G$20)*Index!$E$10</f>
        <v>0</v>
      </c>
      <c r="Q52" s="44">
        <f>I52*Index!$E$11</f>
        <v>0</v>
      </c>
      <c r="R52" s="47">
        <f t="shared" si="1"/>
        <v>0</v>
      </c>
      <c r="S52" s="48">
        <f t="shared" si="0"/>
        <v>0</v>
      </c>
    </row>
    <row r="53" spans="1:19">
      <c r="A53" s="42"/>
      <c r="B53" s="33"/>
      <c r="C53" s="33"/>
      <c r="D53" s="43"/>
      <c r="E53" s="33"/>
      <c r="F53" s="33"/>
      <c r="G53" s="33"/>
      <c r="H53" s="33"/>
      <c r="I53" s="33"/>
      <c r="J53" s="44">
        <f>(D53/100000)*Index!$E$4</f>
        <v>0</v>
      </c>
      <c r="K53" s="44">
        <f>SUMIF(Index!$C$15:$C$40,'perhitungan individu'!E53,Index!$D$15:$D$40)*Index!$E$5</f>
        <v>0</v>
      </c>
      <c r="L53" s="44">
        <f>SUMIF(Index!$E$15:$E$40,'perhitungan individu'!F53,Index!F$15:F$40)*Index!$E$6</f>
        <v>0</v>
      </c>
      <c r="M53" s="44">
        <f>SUMIF(Index!$H$15:$H$40,'perhitungan individu'!$G53,Index!$I$15:$I$40)*Index!$E$7</f>
        <v>0</v>
      </c>
      <c r="N53" s="44">
        <f>SUMIF(Index!$K$15:$K$40,'perhitungan individu'!$G53,Index!$L$15:$L$40)*Index!$E$8</f>
        <v>0</v>
      </c>
      <c r="O53" s="44">
        <f>SUMIF(Index!$M$15:$M$40,'perhitungan individu'!H53,Index!$N$15:$N$40)*Index!$E$9</f>
        <v>0</v>
      </c>
      <c r="P53" s="44">
        <f>SUMIF('Kinera Unit Kerja'!$B$4:$B$20,'perhitungan individu'!$G53,'Kinera Unit Kerja'!$G$4:$G$20)*Index!$E$10</f>
        <v>0</v>
      </c>
      <c r="Q53" s="44">
        <f>I53*Index!$E$11</f>
        <v>0</v>
      </c>
      <c r="R53" s="47">
        <f t="shared" si="1"/>
        <v>0</v>
      </c>
      <c r="S53" s="48">
        <f t="shared" si="0"/>
        <v>0</v>
      </c>
    </row>
    <row r="54" spans="1:19">
      <c r="A54" s="42"/>
      <c r="B54" s="33"/>
      <c r="C54" s="33"/>
      <c r="D54" s="43"/>
      <c r="E54" s="33"/>
      <c r="F54" s="33"/>
      <c r="G54" s="33"/>
      <c r="H54" s="33"/>
      <c r="I54" s="33"/>
      <c r="J54" s="44">
        <f>(D54/100000)*Index!$E$4</f>
        <v>0</v>
      </c>
      <c r="K54" s="44">
        <f>SUMIF(Index!$C$15:$C$40,'perhitungan individu'!E54,Index!$D$15:$D$40)*Index!$E$5</f>
        <v>0</v>
      </c>
      <c r="L54" s="44">
        <f>SUMIF(Index!$E$15:$E$40,'perhitungan individu'!F54,Index!F$15:F$40)*Index!$E$6</f>
        <v>0</v>
      </c>
      <c r="M54" s="44">
        <f>SUMIF(Index!$H$15:$H$40,'perhitungan individu'!$G54,Index!$I$15:$I$40)*Index!$E$7</f>
        <v>0</v>
      </c>
      <c r="N54" s="44">
        <f>SUMIF(Index!$K$15:$K$40,'perhitungan individu'!$G54,Index!$L$15:$L$40)*Index!$E$8</f>
        <v>0</v>
      </c>
      <c r="O54" s="44">
        <f>SUMIF(Index!$M$15:$M$40,'perhitungan individu'!H54,Index!$N$15:$N$40)*Index!$E$9</f>
        <v>0</v>
      </c>
      <c r="P54" s="44">
        <f>SUMIF('Kinera Unit Kerja'!$B$4:$B$20,'perhitungan individu'!$G54,'Kinera Unit Kerja'!$G$4:$G$20)*Index!$E$10</f>
        <v>0</v>
      </c>
      <c r="Q54" s="44">
        <f>I54*Index!$E$11</f>
        <v>0</v>
      </c>
      <c r="R54" s="47">
        <f t="shared" si="1"/>
        <v>0</v>
      </c>
      <c r="S54" s="48">
        <f t="shared" si="0"/>
        <v>0</v>
      </c>
    </row>
    <row r="55" spans="1:19">
      <c r="A55" s="42"/>
      <c r="B55" s="33"/>
      <c r="C55" s="33"/>
      <c r="D55" s="43"/>
      <c r="E55" s="33"/>
      <c r="F55" s="33"/>
      <c r="G55" s="33"/>
      <c r="H55" s="33"/>
      <c r="I55" s="33"/>
      <c r="J55" s="44">
        <f>(D55/100000)*Index!$E$4</f>
        <v>0</v>
      </c>
      <c r="K55" s="44">
        <f>SUMIF(Index!$C$15:$C$40,'perhitungan individu'!E55,Index!$D$15:$D$40)*Index!$E$5</f>
        <v>0</v>
      </c>
      <c r="L55" s="44">
        <f>SUMIF(Index!$E$15:$E$40,'perhitungan individu'!F55,Index!F$15:F$40)*Index!$E$6</f>
        <v>0</v>
      </c>
      <c r="M55" s="44">
        <f>SUMIF(Index!$H$15:$H$40,'perhitungan individu'!$G55,Index!$I$15:$I$40)*Index!$E$7</f>
        <v>0</v>
      </c>
      <c r="N55" s="44">
        <f>SUMIF(Index!$K$15:$K$40,'perhitungan individu'!$G55,Index!$L$15:$L$40)*Index!$E$8</f>
        <v>0</v>
      </c>
      <c r="O55" s="44">
        <f>SUMIF(Index!$M$15:$M$40,'perhitungan individu'!H55,Index!$N$15:$N$40)*Index!$E$9</f>
        <v>0</v>
      </c>
      <c r="P55" s="44">
        <f>SUMIF('Kinera Unit Kerja'!$B$4:$B$20,'perhitungan individu'!$G55,'Kinera Unit Kerja'!$G$4:$G$20)*Index!$E$10</f>
        <v>0</v>
      </c>
      <c r="Q55" s="44">
        <f>I55*Index!$E$11</f>
        <v>0</v>
      </c>
      <c r="R55" s="47">
        <f t="shared" si="1"/>
        <v>0</v>
      </c>
      <c r="S55" s="48">
        <f t="shared" si="0"/>
        <v>0</v>
      </c>
    </row>
    <row r="56" spans="1:19">
      <c r="A56" s="42"/>
      <c r="B56" s="33"/>
      <c r="C56" s="33"/>
      <c r="D56" s="43"/>
      <c r="E56" s="33"/>
      <c r="F56" s="33"/>
      <c r="G56" s="33"/>
      <c r="H56" s="33"/>
      <c r="I56" s="33"/>
      <c r="J56" s="44">
        <f>(D56/100000)*Index!$E$4</f>
        <v>0</v>
      </c>
      <c r="K56" s="44">
        <f>SUMIF(Index!$C$15:$C$40,'perhitungan individu'!E56,Index!$D$15:$D$40)*Index!$E$5</f>
        <v>0</v>
      </c>
      <c r="L56" s="44">
        <f>SUMIF(Index!$E$15:$E$40,'perhitungan individu'!F56,Index!F$15:F$40)*Index!$E$6</f>
        <v>0</v>
      </c>
      <c r="M56" s="44">
        <f>SUMIF(Index!$H$15:$H$40,'perhitungan individu'!$G56,Index!$I$15:$I$40)*Index!$E$7</f>
        <v>0</v>
      </c>
      <c r="N56" s="44">
        <f>SUMIF(Index!$K$15:$K$40,'perhitungan individu'!$G56,Index!$L$15:$L$40)*Index!$E$8</f>
        <v>0</v>
      </c>
      <c r="O56" s="44">
        <f>SUMIF(Index!$M$15:$M$40,'perhitungan individu'!H56,Index!$N$15:$N$40)*Index!$E$9</f>
        <v>0</v>
      </c>
      <c r="P56" s="44">
        <f>SUMIF('Kinera Unit Kerja'!$B$4:$B$20,'perhitungan individu'!$G56,'Kinera Unit Kerja'!$G$4:$G$20)*Index!$E$10</f>
        <v>0</v>
      </c>
      <c r="Q56" s="44">
        <f>I56*Index!$E$11</f>
        <v>0</v>
      </c>
      <c r="R56" s="47">
        <f t="shared" si="1"/>
        <v>0</v>
      </c>
      <c r="S56" s="48">
        <f t="shared" si="0"/>
        <v>0</v>
      </c>
    </row>
    <row r="57" spans="1:19">
      <c r="A57" s="42"/>
      <c r="B57" s="33"/>
      <c r="C57" s="33"/>
      <c r="D57" s="43"/>
      <c r="E57" s="33"/>
      <c r="F57" s="33"/>
      <c r="G57" s="33"/>
      <c r="H57" s="33"/>
      <c r="I57" s="33"/>
      <c r="J57" s="44">
        <f>(D57/100000)*Index!$E$4</f>
        <v>0</v>
      </c>
      <c r="K57" s="44">
        <f>SUMIF(Index!$C$15:$C$40,'perhitungan individu'!E57,Index!$D$15:$D$40)*Index!$E$5</f>
        <v>0</v>
      </c>
      <c r="L57" s="44">
        <f>SUMIF(Index!$E$15:$E$40,'perhitungan individu'!F57,Index!F$15:F$40)*Index!$E$6</f>
        <v>0</v>
      </c>
      <c r="M57" s="44">
        <f>SUMIF(Index!$H$15:$H$40,'perhitungan individu'!$G57,Index!$I$15:$I$40)*Index!$E$7</f>
        <v>0</v>
      </c>
      <c r="N57" s="44">
        <f>SUMIF(Index!$K$15:$K$40,'perhitungan individu'!$G57,Index!$L$15:$L$40)*Index!$E$8</f>
        <v>0</v>
      </c>
      <c r="O57" s="44">
        <f>SUMIF(Index!$M$15:$M$40,'perhitungan individu'!H57,Index!$N$15:$N$40)*Index!$E$9</f>
        <v>0</v>
      </c>
      <c r="P57" s="44">
        <f>SUMIF('Kinera Unit Kerja'!$B$4:$B$20,'perhitungan individu'!$G57,'Kinera Unit Kerja'!$G$4:$G$20)*Index!$E$10</f>
        <v>0</v>
      </c>
      <c r="Q57" s="44">
        <f>I57*Index!$E$11</f>
        <v>0</v>
      </c>
      <c r="R57" s="47">
        <f t="shared" si="1"/>
        <v>0</v>
      </c>
      <c r="S57" s="48">
        <f t="shared" si="0"/>
        <v>0</v>
      </c>
    </row>
    <row r="58" spans="1:19">
      <c r="A58" s="42"/>
      <c r="B58" s="33"/>
      <c r="C58" s="33"/>
      <c r="D58" s="43"/>
      <c r="E58" s="33"/>
      <c r="F58" s="33"/>
      <c r="G58" s="33"/>
      <c r="H58" s="33"/>
      <c r="I58" s="33"/>
      <c r="J58" s="44">
        <f>(D58/100000)*Index!$E$4</f>
        <v>0</v>
      </c>
      <c r="K58" s="44">
        <f>SUMIF(Index!$C$15:$C$40,'perhitungan individu'!E58,Index!$D$15:$D$40)*Index!$E$5</f>
        <v>0</v>
      </c>
      <c r="L58" s="44">
        <f>SUMIF(Index!$E$15:$E$40,'perhitungan individu'!F58,Index!F$15:F$40)*Index!$E$6</f>
        <v>0</v>
      </c>
      <c r="M58" s="44">
        <f>SUMIF(Index!$H$15:$H$40,'perhitungan individu'!$G58,Index!$I$15:$I$40)*Index!$E$7</f>
        <v>0</v>
      </c>
      <c r="N58" s="44">
        <f>SUMIF(Index!$K$15:$K$40,'perhitungan individu'!$G58,Index!$L$15:$L$40)*Index!$E$8</f>
        <v>0</v>
      </c>
      <c r="O58" s="44">
        <f>SUMIF(Index!$M$15:$M$40,'perhitungan individu'!H58,Index!$N$15:$N$40)*Index!$E$9</f>
        <v>0</v>
      </c>
      <c r="P58" s="44">
        <f>SUMIF('Kinera Unit Kerja'!$B$4:$B$20,'perhitungan individu'!$G58,'Kinera Unit Kerja'!$G$4:$G$20)*Index!$E$10</f>
        <v>0</v>
      </c>
      <c r="Q58" s="44">
        <f>I58*Index!$E$11</f>
        <v>0</v>
      </c>
      <c r="R58" s="47">
        <f t="shared" si="1"/>
        <v>0</v>
      </c>
      <c r="S58" s="48">
        <f t="shared" si="0"/>
        <v>0</v>
      </c>
    </row>
    <row r="59" spans="1:19">
      <c r="A59" s="42"/>
      <c r="B59" s="33"/>
      <c r="C59" s="33"/>
      <c r="D59" s="43"/>
      <c r="E59" s="33"/>
      <c r="F59" s="33"/>
      <c r="G59" s="33"/>
      <c r="H59" s="33"/>
      <c r="I59" s="33"/>
      <c r="J59" s="44">
        <f>(D59/100000)*Index!$E$4</f>
        <v>0</v>
      </c>
      <c r="K59" s="44">
        <f>SUMIF(Index!$C$15:$C$40,'perhitungan individu'!E59,Index!$D$15:$D$40)*Index!$E$5</f>
        <v>0</v>
      </c>
      <c r="L59" s="44">
        <f>SUMIF(Index!$E$15:$E$40,'perhitungan individu'!F59,Index!F$15:F$40)*Index!$E$6</f>
        <v>0</v>
      </c>
      <c r="M59" s="44">
        <f>SUMIF(Index!$H$15:$H$40,'perhitungan individu'!$G59,Index!$I$15:$I$40)*Index!$E$7</f>
        <v>0</v>
      </c>
      <c r="N59" s="44">
        <f>SUMIF(Index!$K$15:$K$40,'perhitungan individu'!$G59,Index!$L$15:$L$40)*Index!$E$8</f>
        <v>0</v>
      </c>
      <c r="O59" s="44">
        <f>SUMIF(Index!$M$15:$M$40,'perhitungan individu'!H59,Index!$N$15:$N$40)*Index!$E$9</f>
        <v>0</v>
      </c>
      <c r="P59" s="44">
        <f>SUMIF('Kinera Unit Kerja'!$B$4:$B$20,'perhitungan individu'!$G59,'Kinera Unit Kerja'!$G$4:$G$20)*Index!$E$10</f>
        <v>0</v>
      </c>
      <c r="Q59" s="44">
        <f>I59*Index!$E$11</f>
        <v>0</v>
      </c>
      <c r="R59" s="47">
        <f t="shared" si="1"/>
        <v>0</v>
      </c>
      <c r="S59" s="48">
        <f t="shared" si="0"/>
        <v>0</v>
      </c>
    </row>
    <row r="60" spans="1:19">
      <c r="A60" s="42"/>
      <c r="B60" s="33"/>
      <c r="C60" s="33"/>
      <c r="D60" s="43"/>
      <c r="E60" s="33"/>
      <c r="F60" s="33"/>
      <c r="G60" s="33"/>
      <c r="H60" s="33"/>
      <c r="I60" s="33"/>
      <c r="J60" s="44">
        <f>(D60/100000)*Index!$E$4</f>
        <v>0</v>
      </c>
      <c r="K60" s="44">
        <f>SUMIF(Index!$C$15:$C$40,'perhitungan individu'!E60,Index!$D$15:$D$40)*Index!$E$5</f>
        <v>0</v>
      </c>
      <c r="L60" s="44">
        <f>SUMIF(Index!$E$15:$E$40,'perhitungan individu'!F60,Index!F$15:F$40)*Index!$E$6</f>
        <v>0</v>
      </c>
      <c r="M60" s="44">
        <f>SUMIF(Index!$H$15:$H$40,'perhitungan individu'!$G60,Index!$I$15:$I$40)*Index!$E$7</f>
        <v>0</v>
      </c>
      <c r="N60" s="44">
        <f>SUMIF(Index!$K$15:$K$40,'perhitungan individu'!$G60,Index!$L$15:$L$40)*Index!$E$8</f>
        <v>0</v>
      </c>
      <c r="O60" s="44">
        <f>SUMIF(Index!$M$15:$M$40,'perhitungan individu'!H60,Index!$N$15:$N$40)*Index!$E$9</f>
        <v>0</v>
      </c>
      <c r="P60" s="44">
        <f>SUMIF('Kinera Unit Kerja'!$B$4:$B$20,'perhitungan individu'!$G60,'Kinera Unit Kerja'!$G$4:$G$20)*Index!$E$10</f>
        <v>0</v>
      </c>
      <c r="Q60" s="44">
        <f>I60*Index!$E$11</f>
        <v>0</v>
      </c>
      <c r="R60" s="47">
        <f t="shared" si="1"/>
        <v>0</v>
      </c>
      <c r="S60" s="48">
        <f t="shared" si="0"/>
        <v>0</v>
      </c>
    </row>
    <row r="61" spans="1:19">
      <c r="A61" s="42"/>
      <c r="B61" s="33"/>
      <c r="C61" s="33"/>
      <c r="D61" s="43"/>
      <c r="E61" s="33"/>
      <c r="F61" s="33"/>
      <c r="G61" s="33"/>
      <c r="H61" s="33"/>
      <c r="I61" s="33"/>
      <c r="J61" s="44">
        <f>(D61/100000)*Index!$E$4</f>
        <v>0</v>
      </c>
      <c r="K61" s="44">
        <f>SUMIF(Index!$C$15:$C$40,'perhitungan individu'!E61,Index!$D$15:$D$40)*Index!$E$5</f>
        <v>0</v>
      </c>
      <c r="L61" s="44">
        <f>SUMIF(Index!$E$15:$E$40,'perhitungan individu'!F61,Index!F$15:F$40)*Index!$E$6</f>
        <v>0</v>
      </c>
      <c r="M61" s="44">
        <f>SUMIF(Index!$H$15:$H$40,'perhitungan individu'!$G61,Index!$I$15:$I$40)*Index!$E$7</f>
        <v>0</v>
      </c>
      <c r="N61" s="44">
        <f>SUMIF(Index!$K$15:$K$40,'perhitungan individu'!$G61,Index!$L$15:$L$40)*Index!$E$8</f>
        <v>0</v>
      </c>
      <c r="O61" s="44">
        <f>SUMIF(Index!$M$15:$M$40,'perhitungan individu'!H61,Index!$N$15:$N$40)*Index!$E$9</f>
        <v>0</v>
      </c>
      <c r="P61" s="44">
        <f>SUMIF('Kinera Unit Kerja'!$B$4:$B$20,'perhitungan individu'!$G61,'Kinera Unit Kerja'!$G$4:$G$20)*Index!$E$10</f>
        <v>0</v>
      </c>
      <c r="Q61" s="44">
        <f>I61*Index!$E$11</f>
        <v>0</v>
      </c>
      <c r="R61" s="47">
        <f t="shared" si="1"/>
        <v>0</v>
      </c>
      <c r="S61" s="48">
        <f t="shared" si="0"/>
        <v>0</v>
      </c>
    </row>
    <row r="62" spans="1:19">
      <c r="A62" s="42"/>
      <c r="B62" s="33"/>
      <c r="C62" s="33"/>
      <c r="D62" s="43"/>
      <c r="E62" s="33"/>
      <c r="F62" s="33"/>
      <c r="G62" s="33"/>
      <c r="H62" s="33"/>
      <c r="I62" s="33"/>
      <c r="J62" s="44">
        <f>(D62/100000)*Index!$E$4</f>
        <v>0</v>
      </c>
      <c r="K62" s="44">
        <f>SUMIF(Index!$C$15:$C$40,'perhitungan individu'!E62,Index!$D$15:$D$40)*Index!$E$5</f>
        <v>0</v>
      </c>
      <c r="L62" s="44">
        <f>SUMIF(Index!$E$15:$E$40,'perhitungan individu'!F62,Index!F$15:F$40)*Index!$E$6</f>
        <v>0</v>
      </c>
      <c r="M62" s="44">
        <f>SUMIF(Index!$H$15:$H$40,'perhitungan individu'!$G62,Index!$I$15:$I$40)*Index!$E$7</f>
        <v>0</v>
      </c>
      <c r="N62" s="44">
        <f>SUMIF(Index!$K$15:$K$40,'perhitungan individu'!$G62,Index!$L$15:$L$40)*Index!$E$8</f>
        <v>0</v>
      </c>
      <c r="O62" s="44">
        <f>SUMIF(Index!$M$15:$M$40,'perhitungan individu'!H62,Index!$N$15:$N$40)*Index!$E$9</f>
        <v>0</v>
      </c>
      <c r="P62" s="44">
        <f>SUMIF('Kinera Unit Kerja'!$B$4:$B$20,'perhitungan individu'!$G62,'Kinera Unit Kerja'!$G$4:$G$20)*Index!$E$10</f>
        <v>0</v>
      </c>
      <c r="Q62" s="44">
        <f>I62*Index!$E$11</f>
        <v>0</v>
      </c>
      <c r="R62" s="47">
        <f t="shared" si="1"/>
        <v>0</v>
      </c>
      <c r="S62" s="48">
        <f t="shared" si="0"/>
        <v>0</v>
      </c>
    </row>
    <row r="63" spans="1:19">
      <c r="A63" s="42"/>
      <c r="B63" s="33"/>
      <c r="C63" s="33"/>
      <c r="D63" s="43"/>
      <c r="E63" s="33"/>
      <c r="F63" s="33"/>
      <c r="G63" s="33"/>
      <c r="H63" s="33"/>
      <c r="I63" s="33"/>
      <c r="J63" s="44">
        <f>(D63/100000)*Index!$E$4</f>
        <v>0</v>
      </c>
      <c r="K63" s="44">
        <f>SUMIF(Index!$C$15:$C$40,'perhitungan individu'!E63,Index!$D$15:$D$40)*Index!$E$5</f>
        <v>0</v>
      </c>
      <c r="L63" s="44">
        <f>SUMIF(Index!$E$15:$E$40,'perhitungan individu'!F63,Index!F$15:F$40)*Index!$E$6</f>
        <v>0</v>
      </c>
      <c r="M63" s="44">
        <f>SUMIF(Index!$H$15:$H$40,'perhitungan individu'!$G63,Index!$I$15:$I$40)*Index!$E$7</f>
        <v>0</v>
      </c>
      <c r="N63" s="44">
        <f>SUMIF(Index!$K$15:$K$40,'perhitungan individu'!$G63,Index!$L$15:$L$40)*Index!$E$8</f>
        <v>0</v>
      </c>
      <c r="O63" s="44">
        <f>SUMIF(Index!$M$15:$M$40,'perhitungan individu'!H63,Index!$N$15:$N$40)*Index!$E$9</f>
        <v>0</v>
      </c>
      <c r="P63" s="44">
        <f>SUMIF('Kinera Unit Kerja'!$B$4:$B$20,'perhitungan individu'!$G63,'Kinera Unit Kerja'!$G$4:$G$20)*Index!$E$10</f>
        <v>0</v>
      </c>
      <c r="Q63" s="44">
        <f>I63*Index!$E$11</f>
        <v>0</v>
      </c>
      <c r="R63" s="47">
        <f t="shared" si="1"/>
        <v>0</v>
      </c>
      <c r="S63" s="48">
        <f t="shared" si="0"/>
        <v>0</v>
      </c>
    </row>
    <row r="64" spans="1:19">
      <c r="A64" s="42"/>
      <c r="B64" s="33"/>
      <c r="C64" s="33"/>
      <c r="D64" s="43"/>
      <c r="E64" s="33"/>
      <c r="F64" s="33"/>
      <c r="G64" s="33"/>
      <c r="H64" s="33"/>
      <c r="I64" s="33"/>
      <c r="J64" s="44">
        <f>(D64/100000)*Index!$E$4</f>
        <v>0</v>
      </c>
      <c r="K64" s="44">
        <f>SUMIF(Index!$C$15:$C$40,'perhitungan individu'!E64,Index!$D$15:$D$40)*Index!$E$5</f>
        <v>0</v>
      </c>
      <c r="L64" s="44">
        <f>SUMIF(Index!$E$15:$E$40,'perhitungan individu'!F64,Index!F$15:F$40)*Index!$E$6</f>
        <v>0</v>
      </c>
      <c r="M64" s="44">
        <f>SUMIF(Index!$H$15:$H$40,'perhitungan individu'!$G64,Index!$I$15:$I$40)*Index!$E$7</f>
        <v>0</v>
      </c>
      <c r="N64" s="44">
        <f>SUMIF(Index!$K$15:$K$40,'perhitungan individu'!$G64,Index!$L$15:$L$40)*Index!$E$8</f>
        <v>0</v>
      </c>
      <c r="O64" s="44">
        <f>SUMIF(Index!$M$15:$M$40,'perhitungan individu'!H64,Index!$N$15:$N$40)*Index!$E$9</f>
        <v>0</v>
      </c>
      <c r="P64" s="44">
        <f>SUMIF('Kinera Unit Kerja'!$B$4:$B$20,'perhitungan individu'!$G64,'Kinera Unit Kerja'!$G$4:$G$20)*Index!$E$10</f>
        <v>0</v>
      </c>
      <c r="Q64" s="44">
        <f>I64*Index!$E$11</f>
        <v>0</v>
      </c>
      <c r="R64" s="47">
        <f t="shared" si="1"/>
        <v>0</v>
      </c>
      <c r="S64" s="48">
        <f t="shared" si="0"/>
        <v>0</v>
      </c>
    </row>
    <row r="65" spans="1:19">
      <c r="A65" s="42"/>
      <c r="B65" s="33"/>
      <c r="C65" s="33"/>
      <c r="D65" s="43"/>
      <c r="E65" s="33"/>
      <c r="F65" s="33"/>
      <c r="G65" s="33"/>
      <c r="H65" s="33"/>
      <c r="I65" s="33"/>
      <c r="J65" s="44">
        <f>(D65/100000)*Index!$E$4</f>
        <v>0</v>
      </c>
      <c r="K65" s="44">
        <f>SUMIF(Index!$C$15:$C$40,'perhitungan individu'!E65,Index!$D$15:$D$40)*Index!$E$5</f>
        <v>0</v>
      </c>
      <c r="L65" s="44">
        <f>SUMIF(Index!$E$15:$E$40,'perhitungan individu'!F65,Index!F$15:F$40)*Index!$E$6</f>
        <v>0</v>
      </c>
      <c r="M65" s="44">
        <f>SUMIF(Index!$H$15:$H$40,'perhitungan individu'!$G65,Index!$I$15:$I$40)*Index!$E$7</f>
        <v>0</v>
      </c>
      <c r="N65" s="44">
        <f>SUMIF(Index!$K$15:$K$40,'perhitungan individu'!$G65,Index!$L$15:$L$40)*Index!$E$8</f>
        <v>0</v>
      </c>
      <c r="O65" s="44">
        <f>SUMIF(Index!$M$15:$M$40,'perhitungan individu'!H65,Index!$N$15:$N$40)*Index!$E$9</f>
        <v>0</v>
      </c>
      <c r="P65" s="44">
        <f>SUMIF('Kinera Unit Kerja'!$B$4:$B$20,'perhitungan individu'!$G65,'Kinera Unit Kerja'!$G$4:$G$20)*Index!$E$10</f>
        <v>0</v>
      </c>
      <c r="Q65" s="44">
        <f>I65*Index!$E$11</f>
        <v>0</v>
      </c>
      <c r="R65" s="47">
        <f t="shared" si="1"/>
        <v>0</v>
      </c>
      <c r="S65" s="48">
        <f t="shared" si="0"/>
        <v>0</v>
      </c>
    </row>
    <row r="66" spans="1:19">
      <c r="A66" s="42"/>
      <c r="B66" s="33"/>
      <c r="C66" s="33"/>
      <c r="D66" s="43"/>
      <c r="E66" s="33"/>
      <c r="F66" s="33"/>
      <c r="G66" s="33"/>
      <c r="H66" s="33"/>
      <c r="I66" s="33"/>
      <c r="J66" s="44">
        <f>(D66/100000)*Index!$E$4</f>
        <v>0</v>
      </c>
      <c r="K66" s="44">
        <f>SUMIF(Index!$C$15:$C$40,'perhitungan individu'!E66,Index!$D$15:$D$40)*Index!$E$5</f>
        <v>0</v>
      </c>
      <c r="L66" s="44">
        <f>SUMIF(Index!$E$15:$E$40,'perhitungan individu'!F66,Index!F$15:F$40)*Index!$E$6</f>
        <v>0</v>
      </c>
      <c r="M66" s="44">
        <f>SUMIF(Index!$H$15:$H$40,'perhitungan individu'!$G66,Index!$I$15:$I$40)*Index!$E$7</f>
        <v>0</v>
      </c>
      <c r="N66" s="44">
        <f>SUMIF(Index!$K$15:$K$40,'perhitungan individu'!$G66,Index!$L$15:$L$40)*Index!$E$8</f>
        <v>0</v>
      </c>
      <c r="O66" s="44">
        <f>SUMIF(Index!$M$15:$M$40,'perhitungan individu'!H66,Index!$N$15:$N$40)*Index!$E$9</f>
        <v>0</v>
      </c>
      <c r="P66" s="44">
        <f>SUMIF('Kinera Unit Kerja'!$B$4:$B$20,'perhitungan individu'!$G66,'Kinera Unit Kerja'!$G$4:$G$20)*Index!$E$10</f>
        <v>0</v>
      </c>
      <c r="Q66" s="44">
        <f>I66*Index!$E$11</f>
        <v>0</v>
      </c>
      <c r="R66" s="47">
        <f t="shared" si="1"/>
        <v>0</v>
      </c>
      <c r="S66" s="48">
        <f t="shared" si="0"/>
        <v>0</v>
      </c>
    </row>
    <row r="67" spans="1:19">
      <c r="A67" s="42"/>
      <c r="B67" s="33"/>
      <c r="C67" s="33"/>
      <c r="D67" s="43"/>
      <c r="E67" s="33"/>
      <c r="F67" s="33"/>
      <c r="G67" s="33"/>
      <c r="H67" s="33"/>
      <c r="I67" s="33"/>
      <c r="J67" s="44">
        <f>(D67/100000)*Index!$E$4</f>
        <v>0</v>
      </c>
      <c r="K67" s="44">
        <f>SUMIF(Index!$C$15:$C$40,'perhitungan individu'!E67,Index!$D$15:$D$40)*Index!$E$5</f>
        <v>0</v>
      </c>
      <c r="L67" s="44">
        <f>SUMIF(Index!$E$15:$E$40,'perhitungan individu'!F67,Index!F$15:F$40)*Index!$E$6</f>
        <v>0</v>
      </c>
      <c r="M67" s="44">
        <f>SUMIF(Index!$H$15:$H$40,'perhitungan individu'!$G67,Index!$I$15:$I$40)*Index!$E$7</f>
        <v>0</v>
      </c>
      <c r="N67" s="44">
        <f>SUMIF(Index!$K$15:$K$40,'perhitungan individu'!$G67,Index!$L$15:$L$40)*Index!$E$8</f>
        <v>0</v>
      </c>
      <c r="O67" s="44">
        <f>SUMIF(Index!$M$15:$M$40,'perhitungan individu'!H67,Index!$N$15:$N$40)*Index!$E$9</f>
        <v>0</v>
      </c>
      <c r="P67" s="44">
        <f>SUMIF('Kinera Unit Kerja'!$B$4:$B$20,'perhitungan individu'!$G67,'Kinera Unit Kerja'!$G$4:$G$20)*Index!$E$10</f>
        <v>0</v>
      </c>
      <c r="Q67" s="44">
        <f>I67*Index!$E$11</f>
        <v>0</v>
      </c>
      <c r="R67" s="47">
        <f t="shared" si="1"/>
        <v>0</v>
      </c>
      <c r="S67" s="48">
        <f t="shared" si="0"/>
        <v>0</v>
      </c>
    </row>
    <row r="68" spans="1:19">
      <c r="A68" s="42"/>
      <c r="B68" s="33"/>
      <c r="C68" s="33"/>
      <c r="D68" s="43"/>
      <c r="E68" s="33"/>
      <c r="F68" s="33"/>
      <c r="G68" s="33"/>
      <c r="H68" s="33"/>
      <c r="I68" s="33"/>
      <c r="J68" s="44">
        <f>(D68/100000)*Index!$E$4</f>
        <v>0</v>
      </c>
      <c r="K68" s="44">
        <f>SUMIF(Index!$C$15:$C$40,'perhitungan individu'!E68,Index!$D$15:$D$40)*Index!$E$5</f>
        <v>0</v>
      </c>
      <c r="L68" s="44">
        <f>SUMIF(Index!$E$15:$E$40,'perhitungan individu'!F68,Index!F$15:F$40)*Index!$E$6</f>
        <v>0</v>
      </c>
      <c r="M68" s="44">
        <f>SUMIF(Index!$H$15:$H$40,'perhitungan individu'!$G68,Index!$I$15:$I$40)*Index!$E$7</f>
        <v>0</v>
      </c>
      <c r="N68" s="44">
        <f>SUMIF(Index!$K$15:$K$40,'perhitungan individu'!$G68,Index!$L$15:$L$40)*Index!$E$8</f>
        <v>0</v>
      </c>
      <c r="O68" s="44">
        <f>SUMIF(Index!$M$15:$M$40,'perhitungan individu'!H68,Index!$N$15:$N$40)*Index!$E$9</f>
        <v>0</v>
      </c>
      <c r="P68" s="44">
        <f>SUMIF('Kinera Unit Kerja'!$B$4:$B$20,'perhitungan individu'!$G68,'Kinera Unit Kerja'!$G$4:$G$20)*Index!$E$10</f>
        <v>0</v>
      </c>
      <c r="Q68" s="44">
        <f>I68*Index!$E$11</f>
        <v>0</v>
      </c>
      <c r="R68" s="47">
        <f t="shared" si="1"/>
        <v>0</v>
      </c>
      <c r="S68" s="48">
        <f t="shared" si="0"/>
        <v>0</v>
      </c>
    </row>
    <row r="69" spans="1:19">
      <c r="A69" s="42"/>
      <c r="B69" s="33"/>
      <c r="C69" s="33"/>
      <c r="D69" s="43"/>
      <c r="E69" s="33"/>
      <c r="F69" s="33"/>
      <c r="G69" s="33"/>
      <c r="H69" s="33"/>
      <c r="I69" s="33"/>
      <c r="J69" s="44">
        <f>(D69/100000)*Index!$E$4</f>
        <v>0</v>
      </c>
      <c r="K69" s="44">
        <f>SUMIF(Index!$C$15:$C$40,'perhitungan individu'!E69,Index!$D$15:$D$40)*Index!$E$5</f>
        <v>0</v>
      </c>
      <c r="L69" s="44">
        <f>SUMIF(Index!$E$15:$E$40,'perhitungan individu'!F69,Index!F$15:F$40)*Index!$E$6</f>
        <v>0</v>
      </c>
      <c r="M69" s="44">
        <f>SUMIF(Index!$H$15:$H$40,'perhitungan individu'!$G69,Index!$I$15:$I$40)*Index!$E$7</f>
        <v>0</v>
      </c>
      <c r="N69" s="44">
        <f>SUMIF(Index!$K$15:$K$40,'perhitungan individu'!$G69,Index!$L$15:$L$40)*Index!$E$8</f>
        <v>0</v>
      </c>
      <c r="O69" s="44">
        <f>SUMIF(Index!$M$15:$M$40,'perhitungan individu'!H69,Index!$N$15:$N$40)*Index!$E$9</f>
        <v>0</v>
      </c>
      <c r="P69" s="44">
        <f>SUMIF('Kinera Unit Kerja'!$B$4:$B$20,'perhitungan individu'!$G69,'Kinera Unit Kerja'!$G$4:$G$20)*Index!$E$10</f>
        <v>0</v>
      </c>
      <c r="Q69" s="44">
        <f>I69*Index!$E$11</f>
        <v>0</v>
      </c>
      <c r="R69" s="47">
        <f t="shared" si="1"/>
        <v>0</v>
      </c>
      <c r="S69" s="48">
        <f t="shared" si="0"/>
        <v>0</v>
      </c>
    </row>
    <row r="70" spans="1:19">
      <c r="A70" s="42"/>
      <c r="B70" s="33"/>
      <c r="C70" s="33"/>
      <c r="D70" s="43"/>
      <c r="E70" s="33"/>
      <c r="F70" s="33"/>
      <c r="G70" s="33"/>
      <c r="H70" s="33"/>
      <c r="I70" s="33"/>
      <c r="J70" s="44">
        <f>(D70/100000)*Index!$E$4</f>
        <v>0</v>
      </c>
      <c r="K70" s="44">
        <f>SUMIF(Index!$C$15:$C$40,'perhitungan individu'!E70,Index!$D$15:$D$40)*Index!$E$5</f>
        <v>0</v>
      </c>
      <c r="L70" s="44">
        <f>SUMIF(Index!$E$15:$E$40,'perhitungan individu'!F70,Index!F$15:F$40)*Index!$E$6</f>
        <v>0</v>
      </c>
      <c r="M70" s="44">
        <f>SUMIF(Index!$H$15:$H$40,'perhitungan individu'!$G70,Index!$I$15:$I$40)*Index!$E$7</f>
        <v>0</v>
      </c>
      <c r="N70" s="44">
        <f>SUMIF(Index!$K$15:$K$40,'perhitungan individu'!$G70,Index!$L$15:$L$40)*Index!$E$8</f>
        <v>0</v>
      </c>
      <c r="O70" s="44">
        <f>SUMIF(Index!$M$15:$M$40,'perhitungan individu'!H70,Index!$N$15:$N$40)*Index!$E$9</f>
        <v>0</v>
      </c>
      <c r="P70" s="44">
        <f>SUMIF('Kinera Unit Kerja'!$B$4:$B$20,'perhitungan individu'!$G70,'Kinera Unit Kerja'!$G$4:$G$20)*Index!$E$10</f>
        <v>0</v>
      </c>
      <c r="Q70" s="44">
        <f>I70*Index!$E$11</f>
        <v>0</v>
      </c>
      <c r="R70" s="47">
        <f t="shared" si="1"/>
        <v>0</v>
      </c>
      <c r="S70" s="48">
        <f t="shared" si="0"/>
        <v>0</v>
      </c>
    </row>
    <row r="71" spans="1:19">
      <c r="A71" s="42"/>
      <c r="B71" s="33"/>
      <c r="C71" s="33"/>
      <c r="D71" s="43"/>
      <c r="E71" s="33"/>
      <c r="F71" s="33"/>
      <c r="G71" s="33"/>
      <c r="H71" s="33"/>
      <c r="I71" s="33"/>
      <c r="J71" s="44">
        <f>(D71/100000)*Index!$E$4</f>
        <v>0</v>
      </c>
      <c r="K71" s="44">
        <f>SUMIF(Index!$C$15:$C$40,'perhitungan individu'!E71,Index!$D$15:$D$40)*Index!$E$5</f>
        <v>0</v>
      </c>
      <c r="L71" s="44">
        <f>SUMIF(Index!$E$15:$E$40,'perhitungan individu'!F71,Index!F$15:F$40)*Index!$E$6</f>
        <v>0</v>
      </c>
      <c r="M71" s="44">
        <f>SUMIF(Index!$H$15:$H$40,'perhitungan individu'!$G71,Index!$I$15:$I$40)*Index!$E$7</f>
        <v>0</v>
      </c>
      <c r="N71" s="44">
        <f>SUMIF(Index!$K$15:$K$40,'perhitungan individu'!$G71,Index!$L$15:$L$40)*Index!$E$8</f>
        <v>0</v>
      </c>
      <c r="O71" s="44">
        <f>SUMIF(Index!$M$15:$M$40,'perhitungan individu'!H71,Index!$N$15:$N$40)*Index!$E$9</f>
        <v>0</v>
      </c>
      <c r="P71" s="44">
        <f>SUMIF('Kinera Unit Kerja'!$B$4:$B$20,'perhitungan individu'!$G71,'Kinera Unit Kerja'!$G$4:$G$20)*Index!$E$10</f>
        <v>0</v>
      </c>
      <c r="Q71" s="44">
        <f>I71*Index!$E$11</f>
        <v>0</v>
      </c>
      <c r="R71" s="47">
        <f t="shared" si="1"/>
        <v>0</v>
      </c>
      <c r="S71" s="48">
        <f t="shared" si="0"/>
        <v>0</v>
      </c>
    </row>
    <row r="72" spans="1:19">
      <c r="A72" s="42"/>
      <c r="B72" s="33"/>
      <c r="C72" s="33"/>
      <c r="D72" s="43"/>
      <c r="E72" s="33"/>
      <c r="F72" s="33"/>
      <c r="G72" s="33"/>
      <c r="H72" s="33"/>
      <c r="I72" s="33"/>
      <c r="J72" s="44">
        <f>(D72/100000)*Index!$E$4</f>
        <v>0</v>
      </c>
      <c r="K72" s="44">
        <f>SUMIF(Index!$C$15:$C$40,'perhitungan individu'!E72,Index!$D$15:$D$40)*Index!$E$5</f>
        <v>0</v>
      </c>
      <c r="L72" s="44">
        <f>SUMIF(Index!$E$15:$E$40,'perhitungan individu'!F72,Index!F$15:F$40)*Index!$E$6</f>
        <v>0</v>
      </c>
      <c r="M72" s="44">
        <f>SUMIF(Index!$H$15:$H$40,'perhitungan individu'!$G72,Index!$I$15:$I$40)*Index!$E$7</f>
        <v>0</v>
      </c>
      <c r="N72" s="44">
        <f>SUMIF(Index!$K$15:$K$40,'perhitungan individu'!$G72,Index!$L$15:$L$40)*Index!$E$8</f>
        <v>0</v>
      </c>
      <c r="O72" s="44">
        <f>SUMIF(Index!$M$15:$M$40,'perhitungan individu'!H72,Index!$N$15:$N$40)*Index!$E$9</f>
        <v>0</v>
      </c>
      <c r="P72" s="44">
        <f>SUMIF('Kinera Unit Kerja'!$B$4:$B$20,'perhitungan individu'!$G72,'Kinera Unit Kerja'!$G$4:$G$20)*Index!$E$10</f>
        <v>0</v>
      </c>
      <c r="Q72" s="44">
        <f>I72*Index!$E$11</f>
        <v>0</v>
      </c>
      <c r="R72" s="47">
        <f t="shared" si="1"/>
        <v>0</v>
      </c>
      <c r="S72" s="48">
        <f t="shared" si="0"/>
        <v>0</v>
      </c>
    </row>
    <row r="73" spans="1:19">
      <c r="A73" s="42"/>
      <c r="B73" s="33"/>
      <c r="C73" s="33"/>
      <c r="D73" s="43"/>
      <c r="E73" s="33"/>
      <c r="F73" s="33"/>
      <c r="G73" s="33"/>
      <c r="H73" s="33"/>
      <c r="I73" s="33"/>
      <c r="J73" s="44">
        <f>(D73/100000)*Index!$E$4</f>
        <v>0</v>
      </c>
      <c r="K73" s="44">
        <f>SUMIF(Index!$C$15:$C$40,'perhitungan individu'!E73,Index!$D$15:$D$40)*Index!$E$5</f>
        <v>0</v>
      </c>
      <c r="L73" s="44">
        <f>SUMIF(Index!$E$15:$E$40,'perhitungan individu'!F73,Index!F$15:F$40)*Index!$E$6</f>
        <v>0</v>
      </c>
      <c r="M73" s="44">
        <f>SUMIF(Index!$H$15:$H$40,'perhitungan individu'!$G73,Index!$I$15:$I$40)*Index!$E$7</f>
        <v>0</v>
      </c>
      <c r="N73" s="44">
        <f>SUMIF(Index!$K$15:$K$40,'perhitungan individu'!$G73,Index!$L$15:$L$40)*Index!$E$8</f>
        <v>0</v>
      </c>
      <c r="O73" s="44">
        <f>SUMIF(Index!$M$15:$M$40,'perhitungan individu'!H73,Index!$N$15:$N$40)*Index!$E$9</f>
        <v>0</v>
      </c>
      <c r="P73" s="44">
        <f>SUMIF('Kinera Unit Kerja'!$B$4:$B$20,'perhitungan individu'!$G73,'Kinera Unit Kerja'!$G$4:$G$20)*Index!$E$10</f>
        <v>0</v>
      </c>
      <c r="Q73" s="44">
        <f>I73*Index!$E$11</f>
        <v>0</v>
      </c>
      <c r="R73" s="47">
        <f t="shared" si="1"/>
        <v>0</v>
      </c>
      <c r="S73" s="48">
        <f t="shared" si="0"/>
        <v>0</v>
      </c>
    </row>
    <row r="74" spans="1:19">
      <c r="A74" s="42"/>
      <c r="B74" s="33"/>
      <c r="C74" s="33"/>
      <c r="D74" s="43"/>
      <c r="E74" s="33"/>
      <c r="F74" s="33"/>
      <c r="G74" s="33"/>
      <c r="H74" s="33"/>
      <c r="I74" s="33"/>
      <c r="J74" s="44">
        <f>(D74/100000)*Index!$E$4</f>
        <v>0</v>
      </c>
      <c r="K74" s="44">
        <f>SUMIF(Index!$C$15:$C$40,'perhitungan individu'!E74,Index!$D$15:$D$40)*Index!$E$5</f>
        <v>0</v>
      </c>
      <c r="L74" s="44">
        <f>SUMIF(Index!$E$15:$E$40,'perhitungan individu'!F74,Index!F$15:F$40)*Index!$E$6</f>
        <v>0</v>
      </c>
      <c r="M74" s="44">
        <f>SUMIF(Index!$H$15:$H$40,'perhitungan individu'!$G74,Index!$I$15:$I$40)*Index!$E$7</f>
        <v>0</v>
      </c>
      <c r="N74" s="44">
        <f>SUMIF(Index!$K$15:$K$40,'perhitungan individu'!$G74,Index!$L$15:$L$40)*Index!$E$8</f>
        <v>0</v>
      </c>
      <c r="O74" s="44">
        <f>SUMIF(Index!$M$15:$M$40,'perhitungan individu'!H74,Index!$N$15:$N$40)*Index!$E$9</f>
        <v>0</v>
      </c>
      <c r="P74" s="44">
        <f>SUMIF('Kinera Unit Kerja'!$B$4:$B$20,'perhitungan individu'!$G74,'Kinera Unit Kerja'!$G$4:$G$20)*Index!$E$10</f>
        <v>0</v>
      </c>
      <c r="Q74" s="44">
        <f>I74*Index!$E$11</f>
        <v>0</v>
      </c>
      <c r="R74" s="47">
        <f t="shared" si="1"/>
        <v>0</v>
      </c>
      <c r="S74" s="48">
        <f t="shared" si="0"/>
        <v>0</v>
      </c>
    </row>
    <row r="75" spans="1:19">
      <c r="A75" s="42"/>
      <c r="B75" s="33"/>
      <c r="C75" s="33"/>
      <c r="D75" s="43"/>
      <c r="E75" s="33"/>
      <c r="F75" s="33"/>
      <c r="G75" s="33"/>
      <c r="H75" s="33"/>
      <c r="I75" s="33"/>
      <c r="J75" s="44">
        <f>(D75/100000)*Index!$E$4</f>
        <v>0</v>
      </c>
      <c r="K75" s="44">
        <f>SUMIF(Index!$C$15:$C$40,'perhitungan individu'!E75,Index!$D$15:$D$40)*Index!$E$5</f>
        <v>0</v>
      </c>
      <c r="L75" s="44">
        <f>SUMIF(Index!$E$15:$E$40,'perhitungan individu'!F75,Index!F$15:F$40)*Index!$E$6</f>
        <v>0</v>
      </c>
      <c r="M75" s="44">
        <f>SUMIF(Index!$H$15:$H$40,'perhitungan individu'!$G75,Index!$I$15:$I$40)*Index!$E$7</f>
        <v>0</v>
      </c>
      <c r="N75" s="44">
        <f>SUMIF(Index!$K$15:$K$40,'perhitungan individu'!$G75,Index!$L$15:$L$40)*Index!$E$8</f>
        <v>0</v>
      </c>
      <c r="O75" s="44">
        <f>SUMIF(Index!$M$15:$M$40,'perhitungan individu'!H75,Index!$N$15:$N$40)*Index!$E$9</f>
        <v>0</v>
      </c>
      <c r="P75" s="44">
        <f>SUMIF('Kinera Unit Kerja'!$B$4:$B$20,'perhitungan individu'!$G75,'Kinera Unit Kerja'!$G$4:$G$20)*Index!$E$10</f>
        <v>0</v>
      </c>
      <c r="Q75" s="44">
        <f>I75*Index!$E$11</f>
        <v>0</v>
      </c>
      <c r="R75" s="47">
        <f t="shared" si="1"/>
        <v>0</v>
      </c>
      <c r="S75" s="48">
        <f t="shared" si="0"/>
        <v>0</v>
      </c>
    </row>
    <row r="76" spans="1:19">
      <c r="A76" s="42"/>
      <c r="B76" s="33"/>
      <c r="C76" s="33"/>
      <c r="D76" s="43"/>
      <c r="E76" s="33"/>
      <c r="F76" s="33"/>
      <c r="G76" s="33"/>
      <c r="H76" s="33"/>
      <c r="I76" s="33"/>
      <c r="J76" s="44">
        <f>(D76/100000)*Index!$E$4</f>
        <v>0</v>
      </c>
      <c r="K76" s="44">
        <f>SUMIF(Index!$C$15:$C$40,'perhitungan individu'!E76,Index!$D$15:$D$40)*Index!$E$5</f>
        <v>0</v>
      </c>
      <c r="L76" s="44">
        <f>SUMIF(Index!$E$15:$E$40,'perhitungan individu'!F76,Index!F$15:F$40)*Index!$E$6</f>
        <v>0</v>
      </c>
      <c r="M76" s="44">
        <f>SUMIF(Index!$H$15:$H$40,'perhitungan individu'!$G76,Index!$I$15:$I$40)*Index!$E$7</f>
        <v>0</v>
      </c>
      <c r="N76" s="44">
        <f>SUMIF(Index!$K$15:$K$40,'perhitungan individu'!$G76,Index!$L$15:$L$40)*Index!$E$8</f>
        <v>0</v>
      </c>
      <c r="O76" s="44">
        <f>SUMIF(Index!$M$15:$M$40,'perhitungan individu'!H76,Index!$N$15:$N$40)*Index!$E$9</f>
        <v>0</v>
      </c>
      <c r="P76" s="44">
        <f>SUMIF('Kinera Unit Kerja'!$B$4:$B$20,'perhitungan individu'!$G76,'Kinera Unit Kerja'!$G$4:$G$20)*Index!$E$10</f>
        <v>0</v>
      </c>
      <c r="Q76" s="44">
        <f>I76*Index!$E$11</f>
        <v>0</v>
      </c>
      <c r="R76" s="47">
        <f t="shared" si="1"/>
        <v>0</v>
      </c>
      <c r="S76" s="48">
        <f t="shared" si="0"/>
        <v>0</v>
      </c>
    </row>
    <row r="77" spans="1:19">
      <c r="A77" s="42"/>
      <c r="B77" s="33"/>
      <c r="C77" s="33"/>
      <c r="D77" s="43"/>
      <c r="E77" s="33"/>
      <c r="F77" s="33"/>
      <c r="G77" s="33"/>
      <c r="H77" s="33"/>
      <c r="I77" s="33"/>
      <c r="J77" s="44">
        <f>(D77/100000)*Index!$E$4</f>
        <v>0</v>
      </c>
      <c r="K77" s="44">
        <f>SUMIF(Index!$C$15:$C$40,'perhitungan individu'!E77,Index!$D$15:$D$40)*Index!$E$5</f>
        <v>0</v>
      </c>
      <c r="L77" s="44">
        <f>SUMIF(Index!$E$15:$E$40,'perhitungan individu'!F77,Index!F$15:F$40)*Index!$E$6</f>
        <v>0</v>
      </c>
      <c r="M77" s="44">
        <f>SUMIF(Index!$H$15:$H$40,'perhitungan individu'!$G77,Index!$I$15:$I$40)*Index!$E$7</f>
        <v>0</v>
      </c>
      <c r="N77" s="44">
        <f>SUMIF(Index!$K$15:$K$40,'perhitungan individu'!$G77,Index!$L$15:$L$40)*Index!$E$8</f>
        <v>0</v>
      </c>
      <c r="O77" s="44">
        <f>SUMIF(Index!$M$15:$M$40,'perhitungan individu'!H77,Index!$N$15:$N$40)*Index!$E$9</f>
        <v>0</v>
      </c>
      <c r="P77" s="44">
        <f>SUMIF('Kinera Unit Kerja'!$B$4:$B$20,'perhitungan individu'!$G77,'Kinera Unit Kerja'!$G$4:$G$20)*Index!$E$10</f>
        <v>0</v>
      </c>
      <c r="Q77" s="44">
        <f>I77*Index!$E$11</f>
        <v>0</v>
      </c>
      <c r="R77" s="47">
        <f t="shared" si="1"/>
        <v>0</v>
      </c>
      <c r="S77" s="48">
        <f t="shared" si="0"/>
        <v>0</v>
      </c>
    </row>
    <row r="78" spans="1:19">
      <c r="A78" s="42"/>
      <c r="B78" s="33"/>
      <c r="C78" s="33"/>
      <c r="D78" s="43"/>
      <c r="E78" s="33"/>
      <c r="F78" s="33"/>
      <c r="G78" s="33"/>
      <c r="H78" s="33"/>
      <c r="I78" s="33"/>
      <c r="J78" s="44">
        <f>(D78/100000)*Index!$E$4</f>
        <v>0</v>
      </c>
      <c r="K78" s="44">
        <f>SUMIF(Index!$C$15:$C$40,'perhitungan individu'!E78,Index!$D$15:$D$40)*Index!$E$5</f>
        <v>0</v>
      </c>
      <c r="L78" s="44">
        <f>SUMIF(Index!$E$15:$E$40,'perhitungan individu'!F78,Index!F$15:F$40)*Index!$E$6</f>
        <v>0</v>
      </c>
      <c r="M78" s="44">
        <f>SUMIF(Index!$H$15:$H$40,'perhitungan individu'!$G78,Index!$I$15:$I$40)*Index!$E$7</f>
        <v>0</v>
      </c>
      <c r="N78" s="44">
        <f>SUMIF(Index!$K$15:$K$40,'perhitungan individu'!$G78,Index!$L$15:$L$40)*Index!$E$8</f>
        <v>0</v>
      </c>
      <c r="O78" s="44">
        <f>SUMIF(Index!$M$15:$M$40,'perhitungan individu'!H78,Index!$N$15:$N$40)*Index!$E$9</f>
        <v>0</v>
      </c>
      <c r="P78" s="44">
        <f>SUMIF('Kinera Unit Kerja'!$B$4:$B$20,'perhitungan individu'!$G78,'Kinera Unit Kerja'!$G$4:$G$20)*Index!$E$10</f>
        <v>0</v>
      </c>
      <c r="Q78" s="44">
        <f>I78*Index!$E$11</f>
        <v>0</v>
      </c>
      <c r="R78" s="47">
        <f t="shared" si="1"/>
        <v>0</v>
      </c>
      <c r="S78" s="48">
        <f t="shared" si="0"/>
        <v>0</v>
      </c>
    </row>
    <row r="79" spans="1:19">
      <c r="A79" s="42"/>
      <c r="B79" s="33"/>
      <c r="C79" s="33"/>
      <c r="D79" s="43"/>
      <c r="E79" s="33"/>
      <c r="F79" s="33"/>
      <c r="G79" s="33"/>
      <c r="H79" s="33"/>
      <c r="I79" s="33"/>
      <c r="J79" s="44">
        <f>(D79/100000)*Index!$E$4</f>
        <v>0</v>
      </c>
      <c r="K79" s="44">
        <f>SUMIF(Index!$C$15:$C$40,'perhitungan individu'!E79,Index!$D$15:$D$40)*Index!$E$5</f>
        <v>0</v>
      </c>
      <c r="L79" s="44">
        <f>SUMIF(Index!$E$15:$E$40,'perhitungan individu'!F79,Index!F$15:F$40)*Index!$E$6</f>
        <v>0</v>
      </c>
      <c r="M79" s="44">
        <f>SUMIF(Index!$H$15:$H$40,'perhitungan individu'!$G79,Index!$I$15:$I$40)*Index!$E$7</f>
        <v>0</v>
      </c>
      <c r="N79" s="44">
        <f>SUMIF(Index!$K$15:$K$40,'perhitungan individu'!$G79,Index!$L$15:$L$40)*Index!$E$8</f>
        <v>0</v>
      </c>
      <c r="O79" s="44">
        <f>SUMIF(Index!$M$15:$M$40,'perhitungan individu'!H79,Index!$N$15:$N$40)*Index!$E$9</f>
        <v>0</v>
      </c>
      <c r="P79" s="44">
        <f>SUMIF('Kinera Unit Kerja'!$B$4:$B$20,'perhitungan individu'!$G79,'Kinera Unit Kerja'!$G$4:$G$20)*Index!$E$10</f>
        <v>0</v>
      </c>
      <c r="Q79" s="44">
        <f>I79*Index!$E$11</f>
        <v>0</v>
      </c>
      <c r="R79" s="47">
        <f t="shared" si="1"/>
        <v>0</v>
      </c>
      <c r="S79" s="48">
        <f t="shared" si="0"/>
        <v>0</v>
      </c>
    </row>
    <row r="80" spans="1:19">
      <c r="A80" s="42"/>
      <c r="B80" s="33"/>
      <c r="C80" s="33"/>
      <c r="D80" s="43"/>
      <c r="E80" s="33"/>
      <c r="F80" s="33"/>
      <c r="G80" s="33"/>
      <c r="H80" s="33"/>
      <c r="I80" s="33"/>
      <c r="J80" s="44">
        <f>(D80/100000)*Index!$E$4</f>
        <v>0</v>
      </c>
      <c r="K80" s="44">
        <f>SUMIF(Index!$C$15:$C$40,'perhitungan individu'!E80,Index!$D$15:$D$40)*Index!$E$5</f>
        <v>0</v>
      </c>
      <c r="L80" s="44">
        <f>SUMIF(Index!$E$15:$E$40,'perhitungan individu'!F80,Index!F$15:F$40)*Index!$E$6</f>
        <v>0</v>
      </c>
      <c r="M80" s="44">
        <f>SUMIF(Index!$H$15:$H$40,'perhitungan individu'!$G80,Index!$I$15:$I$40)*Index!$E$7</f>
        <v>0</v>
      </c>
      <c r="N80" s="44">
        <f>SUMIF(Index!$K$15:$K$40,'perhitungan individu'!$G80,Index!$L$15:$L$40)*Index!$E$8</f>
        <v>0</v>
      </c>
      <c r="O80" s="44">
        <f>SUMIF(Index!$M$15:$M$40,'perhitungan individu'!H80,Index!$N$15:$N$40)*Index!$E$9</f>
        <v>0</v>
      </c>
      <c r="P80" s="44">
        <f>SUMIF('Kinera Unit Kerja'!$B$4:$B$20,'perhitungan individu'!$G80,'Kinera Unit Kerja'!$G$4:$G$20)*Index!$E$10</f>
        <v>0</v>
      </c>
      <c r="Q80" s="44">
        <f>I80*Index!$E$11</f>
        <v>0</v>
      </c>
      <c r="R80" s="47">
        <f t="shared" si="1"/>
        <v>0</v>
      </c>
      <c r="S80" s="48">
        <f t="shared" si="0"/>
        <v>0</v>
      </c>
    </row>
    <row r="81" spans="1:19">
      <c r="A81" s="42"/>
      <c r="B81" s="33"/>
      <c r="C81" s="33"/>
      <c r="D81" s="43"/>
      <c r="E81" s="33"/>
      <c r="F81" s="33"/>
      <c r="G81" s="33"/>
      <c r="H81" s="33"/>
      <c r="I81" s="33"/>
      <c r="J81" s="44">
        <f>(D81/100000)*Index!$E$4</f>
        <v>0</v>
      </c>
      <c r="K81" s="44">
        <f>SUMIF(Index!$C$15:$C$40,'perhitungan individu'!E81,Index!$D$15:$D$40)*Index!$E$5</f>
        <v>0</v>
      </c>
      <c r="L81" s="44">
        <f>SUMIF(Index!$E$15:$E$40,'perhitungan individu'!F81,Index!F$15:F$40)*Index!$E$6</f>
        <v>0</v>
      </c>
      <c r="M81" s="44">
        <f>SUMIF(Index!$H$15:$H$40,'perhitungan individu'!$G81,Index!$I$15:$I$40)*Index!$E$7</f>
        <v>0</v>
      </c>
      <c r="N81" s="44">
        <f>SUMIF(Index!$K$15:$K$40,'perhitungan individu'!$G81,Index!$L$15:$L$40)*Index!$E$8</f>
        <v>0</v>
      </c>
      <c r="O81" s="44">
        <f>SUMIF(Index!$M$15:$M$40,'perhitungan individu'!H81,Index!$N$15:$N$40)*Index!$E$9</f>
        <v>0</v>
      </c>
      <c r="P81" s="44">
        <f>SUMIF('Kinera Unit Kerja'!$B$4:$B$20,'perhitungan individu'!$G81,'Kinera Unit Kerja'!$G$4:$G$20)*Index!$E$10</f>
        <v>0</v>
      </c>
      <c r="Q81" s="44">
        <f>I81*Index!$E$11</f>
        <v>0</v>
      </c>
      <c r="R81" s="47">
        <f t="shared" si="1"/>
        <v>0</v>
      </c>
      <c r="S81" s="48">
        <f t="shared" si="0"/>
        <v>0</v>
      </c>
    </row>
    <row r="82" spans="1:19">
      <c r="A82" s="42"/>
      <c r="B82" s="33"/>
      <c r="C82" s="33"/>
      <c r="D82" s="43"/>
      <c r="E82" s="33"/>
      <c r="F82" s="33"/>
      <c r="G82" s="33"/>
      <c r="H82" s="33"/>
      <c r="I82" s="33"/>
      <c r="J82" s="44">
        <f>(D82/100000)*Index!$E$4</f>
        <v>0</v>
      </c>
      <c r="K82" s="44">
        <f>SUMIF(Index!$C$15:$C$40,'perhitungan individu'!E82,Index!$D$15:$D$40)*Index!$E$5</f>
        <v>0</v>
      </c>
      <c r="L82" s="44">
        <f>SUMIF(Index!$E$15:$E$40,'perhitungan individu'!F82,Index!F$15:F$40)*Index!$E$6</f>
        <v>0</v>
      </c>
      <c r="M82" s="44">
        <f>SUMIF(Index!$H$15:$H$40,'perhitungan individu'!$G82,Index!$I$15:$I$40)*Index!$E$7</f>
        <v>0</v>
      </c>
      <c r="N82" s="44">
        <f>SUMIF(Index!$K$15:$K$40,'perhitungan individu'!$G82,Index!$L$15:$L$40)*Index!$E$8</f>
        <v>0</v>
      </c>
      <c r="O82" s="44">
        <f>SUMIF(Index!$M$15:$M$40,'perhitungan individu'!H82,Index!$N$15:$N$40)*Index!$E$9</f>
        <v>0</v>
      </c>
      <c r="P82" s="44">
        <f>SUMIF('Kinera Unit Kerja'!$B$4:$B$20,'perhitungan individu'!$G82,'Kinera Unit Kerja'!$G$4:$G$20)*Index!$E$10</f>
        <v>0</v>
      </c>
      <c r="Q82" s="44">
        <f>I82*Index!$E$11</f>
        <v>0</v>
      </c>
      <c r="R82" s="47">
        <f t="shared" si="1"/>
        <v>0</v>
      </c>
      <c r="S82" s="48">
        <f t="shared" si="0"/>
        <v>0</v>
      </c>
    </row>
    <row r="83" spans="1:19">
      <c r="A83" s="42"/>
      <c r="B83" s="33"/>
      <c r="C83" s="33"/>
      <c r="D83" s="43"/>
      <c r="E83" s="33"/>
      <c r="F83" s="33"/>
      <c r="G83" s="33"/>
      <c r="H83" s="33"/>
      <c r="I83" s="33"/>
      <c r="J83" s="44">
        <f>(D83/100000)*Index!$E$4</f>
        <v>0</v>
      </c>
      <c r="K83" s="44">
        <f>SUMIF(Index!$C$15:$C$40,'perhitungan individu'!E83,Index!$D$15:$D$40)*Index!$E$5</f>
        <v>0</v>
      </c>
      <c r="L83" s="44">
        <f>SUMIF(Index!$E$15:$E$40,'perhitungan individu'!F83,Index!F$15:F$40)*Index!$E$6</f>
        <v>0</v>
      </c>
      <c r="M83" s="44">
        <f>SUMIF(Index!$H$15:$H$40,'perhitungan individu'!$G83,Index!$I$15:$I$40)*Index!$E$7</f>
        <v>0</v>
      </c>
      <c r="N83" s="44">
        <f>SUMIF(Index!$K$15:$K$40,'perhitungan individu'!$G83,Index!$L$15:$L$40)*Index!$E$8</f>
        <v>0</v>
      </c>
      <c r="O83" s="44">
        <f>SUMIF(Index!$M$15:$M$40,'perhitungan individu'!H83,Index!$N$15:$N$40)*Index!$E$9</f>
        <v>0</v>
      </c>
      <c r="P83" s="44">
        <f>SUMIF('Kinera Unit Kerja'!$B$4:$B$20,'perhitungan individu'!$G83,'Kinera Unit Kerja'!$G$4:$G$20)*Index!$E$10</f>
        <v>0</v>
      </c>
      <c r="Q83" s="44">
        <f>I83*Index!$E$11</f>
        <v>0</v>
      </c>
      <c r="R83" s="47">
        <f t="shared" si="1"/>
        <v>0</v>
      </c>
      <c r="S83" s="48">
        <f t="shared" si="0"/>
        <v>0</v>
      </c>
    </row>
    <row r="84" spans="1:19">
      <c r="A84" s="42"/>
      <c r="B84" s="33"/>
      <c r="C84" s="33"/>
      <c r="D84" s="43"/>
      <c r="E84" s="33"/>
      <c r="F84" s="33"/>
      <c r="G84" s="33"/>
      <c r="H84" s="33"/>
      <c r="I84" s="33"/>
      <c r="J84" s="44">
        <f>(D84/100000)*Index!$E$4</f>
        <v>0</v>
      </c>
      <c r="K84" s="44">
        <f>SUMIF(Index!$C$15:$C$40,'perhitungan individu'!E84,Index!$D$15:$D$40)*Index!$E$5</f>
        <v>0</v>
      </c>
      <c r="L84" s="44">
        <f>SUMIF(Index!$E$15:$E$40,'perhitungan individu'!F84,Index!F$15:F$40)*Index!$E$6</f>
        <v>0</v>
      </c>
      <c r="M84" s="44">
        <f>SUMIF(Index!$H$15:$H$40,'perhitungan individu'!$G84,Index!$I$15:$I$40)*Index!$E$7</f>
        <v>0</v>
      </c>
      <c r="N84" s="44">
        <f>SUMIF(Index!$K$15:$K$40,'perhitungan individu'!$G84,Index!$L$15:$L$40)*Index!$E$8</f>
        <v>0</v>
      </c>
      <c r="O84" s="44">
        <f>SUMIF(Index!$M$15:$M$40,'perhitungan individu'!H84,Index!$N$15:$N$40)*Index!$E$9</f>
        <v>0</v>
      </c>
      <c r="P84" s="44">
        <f>SUMIF('Kinera Unit Kerja'!$B$4:$B$20,'perhitungan individu'!$G84,'Kinera Unit Kerja'!$G$4:$G$20)*Index!$E$10</f>
        <v>0</v>
      </c>
      <c r="Q84" s="44">
        <f>I84*Index!$E$11</f>
        <v>0</v>
      </c>
      <c r="R84" s="47">
        <f t="shared" si="1"/>
        <v>0</v>
      </c>
      <c r="S84" s="48">
        <f t="shared" si="0"/>
        <v>0</v>
      </c>
    </row>
    <row r="85" spans="1:19">
      <c r="A85" s="42"/>
      <c r="B85" s="33"/>
      <c r="C85" s="33"/>
      <c r="D85" s="43"/>
      <c r="E85" s="33"/>
      <c r="F85" s="33"/>
      <c r="G85" s="33"/>
      <c r="H85" s="33"/>
      <c r="I85" s="33"/>
      <c r="J85" s="44">
        <f>(D85/100000)*Index!$E$4</f>
        <v>0</v>
      </c>
      <c r="K85" s="44">
        <f>SUMIF(Index!$C$15:$C$40,'perhitungan individu'!E85,Index!$D$15:$D$40)*Index!$E$5</f>
        <v>0</v>
      </c>
      <c r="L85" s="44">
        <f>SUMIF(Index!$E$15:$E$40,'perhitungan individu'!F85,Index!F$15:F$40)*Index!$E$6</f>
        <v>0</v>
      </c>
      <c r="M85" s="44">
        <f>SUMIF(Index!$H$15:$H$40,'perhitungan individu'!$G85,Index!$I$15:$I$40)*Index!$E$7</f>
        <v>0</v>
      </c>
      <c r="N85" s="44">
        <f>SUMIF(Index!$K$15:$K$40,'perhitungan individu'!$G85,Index!$L$15:$L$40)*Index!$E$8</f>
        <v>0</v>
      </c>
      <c r="O85" s="44">
        <f>SUMIF(Index!$M$15:$M$40,'perhitungan individu'!H85,Index!$N$15:$N$40)*Index!$E$9</f>
        <v>0</v>
      </c>
      <c r="P85" s="44">
        <f>SUMIF('Kinera Unit Kerja'!$B$4:$B$20,'perhitungan individu'!$G85,'Kinera Unit Kerja'!$G$4:$G$20)*Index!$E$10</f>
        <v>0</v>
      </c>
      <c r="Q85" s="44">
        <f>I85*Index!$E$11</f>
        <v>0</v>
      </c>
      <c r="R85" s="47">
        <f t="shared" si="1"/>
        <v>0</v>
      </c>
      <c r="S85" s="48">
        <f t="shared" si="0"/>
        <v>0</v>
      </c>
    </row>
    <row r="86" spans="1:19">
      <c r="A86" s="42"/>
      <c r="B86" s="33"/>
      <c r="C86" s="33"/>
      <c r="D86" s="43"/>
      <c r="E86" s="33"/>
      <c r="F86" s="33"/>
      <c r="G86" s="33"/>
      <c r="H86" s="33"/>
      <c r="I86" s="33"/>
      <c r="J86" s="44">
        <f>(D86/100000)*Index!$E$4</f>
        <v>0</v>
      </c>
      <c r="K86" s="44">
        <f>SUMIF(Index!$C$15:$C$40,'perhitungan individu'!E86,Index!$D$15:$D$40)*Index!$E$5</f>
        <v>0</v>
      </c>
      <c r="L86" s="44">
        <f>SUMIF(Index!$E$15:$E$40,'perhitungan individu'!F86,Index!F$15:F$40)*Index!$E$6</f>
        <v>0</v>
      </c>
      <c r="M86" s="44">
        <f>SUMIF(Index!$H$15:$H$40,'perhitungan individu'!$G86,Index!$I$15:$I$40)*Index!$E$7</f>
        <v>0</v>
      </c>
      <c r="N86" s="44">
        <f>SUMIF(Index!$K$15:$K$40,'perhitungan individu'!$G86,Index!$L$15:$L$40)*Index!$E$8</f>
        <v>0</v>
      </c>
      <c r="O86" s="44">
        <f>SUMIF(Index!$M$15:$M$40,'perhitungan individu'!H86,Index!$N$15:$N$40)*Index!$E$9</f>
        <v>0</v>
      </c>
      <c r="P86" s="44">
        <f>SUMIF('Kinera Unit Kerja'!$B$4:$B$20,'perhitungan individu'!$G86,'Kinera Unit Kerja'!$G$4:$G$20)*Index!$E$10</f>
        <v>0</v>
      </c>
      <c r="Q86" s="44">
        <f>I86*Index!$E$11</f>
        <v>0</v>
      </c>
      <c r="R86" s="47">
        <f t="shared" si="1"/>
        <v>0</v>
      </c>
      <c r="S86" s="48">
        <f t="shared" si="0"/>
        <v>0</v>
      </c>
    </row>
    <row r="87" spans="1:19">
      <c r="A87" s="42"/>
      <c r="B87" s="33"/>
      <c r="C87" s="33"/>
      <c r="D87" s="43"/>
      <c r="E87" s="33"/>
      <c r="F87" s="33"/>
      <c r="G87" s="33"/>
      <c r="H87" s="33"/>
      <c r="I87" s="33"/>
      <c r="J87" s="44">
        <f>(D87/100000)*Index!$E$4</f>
        <v>0</v>
      </c>
      <c r="K87" s="44">
        <f>SUMIF(Index!$C$15:$C$40,'perhitungan individu'!E87,Index!$D$15:$D$40)*Index!$E$5</f>
        <v>0</v>
      </c>
      <c r="L87" s="44">
        <f>SUMIF(Index!$E$15:$E$40,'perhitungan individu'!F87,Index!F$15:F$40)*Index!$E$6</f>
        <v>0</v>
      </c>
      <c r="M87" s="44">
        <f>SUMIF(Index!$H$15:$H$40,'perhitungan individu'!$G87,Index!$I$15:$I$40)*Index!$E$7</f>
        <v>0</v>
      </c>
      <c r="N87" s="44">
        <f>SUMIF(Index!$K$15:$K$40,'perhitungan individu'!$G87,Index!$L$15:$L$40)*Index!$E$8</f>
        <v>0</v>
      </c>
      <c r="O87" s="44">
        <f>SUMIF(Index!$M$15:$M$40,'perhitungan individu'!H87,Index!$N$15:$N$40)*Index!$E$9</f>
        <v>0</v>
      </c>
      <c r="P87" s="44">
        <f>SUMIF('Kinera Unit Kerja'!$B$4:$B$20,'perhitungan individu'!$G87,'Kinera Unit Kerja'!$G$4:$G$20)*Index!$E$10</f>
        <v>0</v>
      </c>
      <c r="Q87" s="44">
        <f>I87*Index!$E$11</f>
        <v>0</v>
      </c>
      <c r="R87" s="47">
        <f t="shared" si="1"/>
        <v>0</v>
      </c>
      <c r="S87" s="48">
        <f t="shared" si="0"/>
        <v>0</v>
      </c>
    </row>
    <row r="88" spans="1:19">
      <c r="A88" s="42"/>
      <c r="B88" s="33"/>
      <c r="C88" s="33"/>
      <c r="D88" s="43"/>
      <c r="E88" s="33"/>
      <c r="F88" s="33"/>
      <c r="G88" s="33"/>
      <c r="H88" s="33"/>
      <c r="I88" s="33"/>
      <c r="J88" s="44">
        <f>(D88/100000)*Index!$E$4</f>
        <v>0</v>
      </c>
      <c r="K88" s="44">
        <f>SUMIF(Index!$C$15:$C$40,'perhitungan individu'!E88,Index!$D$15:$D$40)*Index!$E$5</f>
        <v>0</v>
      </c>
      <c r="L88" s="44">
        <f>SUMIF(Index!$E$15:$E$40,'perhitungan individu'!F88,Index!F$15:F$40)*Index!$E$6</f>
        <v>0</v>
      </c>
      <c r="M88" s="44">
        <f>SUMIF(Index!$H$15:$H$40,'perhitungan individu'!$G88,Index!$I$15:$I$40)*Index!$E$7</f>
        <v>0</v>
      </c>
      <c r="N88" s="44">
        <f>SUMIF(Index!$K$15:$K$40,'perhitungan individu'!$G88,Index!$L$15:$L$40)*Index!$E$8</f>
        <v>0</v>
      </c>
      <c r="O88" s="44">
        <f>SUMIF(Index!$M$15:$M$40,'perhitungan individu'!H88,Index!$N$15:$N$40)*Index!$E$9</f>
        <v>0</v>
      </c>
      <c r="P88" s="44">
        <f>SUMIF('Kinera Unit Kerja'!$B$4:$B$20,'perhitungan individu'!$G88,'Kinera Unit Kerja'!$G$4:$G$20)*Index!$E$10</f>
        <v>0</v>
      </c>
      <c r="Q88" s="44">
        <f>I88*Index!$E$11</f>
        <v>0</v>
      </c>
      <c r="R88" s="47">
        <f t="shared" si="1"/>
        <v>0</v>
      </c>
      <c r="S88" s="48">
        <f t="shared" si="0"/>
        <v>0</v>
      </c>
    </row>
    <row r="89" spans="1:19">
      <c r="A89" s="42"/>
      <c r="B89" s="33"/>
      <c r="C89" s="33"/>
      <c r="D89" s="43"/>
      <c r="E89" s="33"/>
      <c r="F89" s="33"/>
      <c r="G89" s="33"/>
      <c r="H89" s="33"/>
      <c r="I89" s="33"/>
      <c r="J89" s="44">
        <f>(D89/100000)*Index!$E$4</f>
        <v>0</v>
      </c>
      <c r="K89" s="44">
        <f>SUMIF(Index!$C$15:$C$40,'perhitungan individu'!E89,Index!$D$15:$D$40)*Index!$E$5</f>
        <v>0</v>
      </c>
      <c r="L89" s="44">
        <f>SUMIF(Index!$E$15:$E$40,'perhitungan individu'!F89,Index!F$15:F$40)*Index!$E$6</f>
        <v>0</v>
      </c>
      <c r="M89" s="44">
        <f>SUMIF(Index!$H$15:$H$40,'perhitungan individu'!$G89,Index!$I$15:$I$40)*Index!$E$7</f>
        <v>0</v>
      </c>
      <c r="N89" s="44">
        <f>SUMIF(Index!$K$15:$K$40,'perhitungan individu'!$G89,Index!$L$15:$L$40)*Index!$E$8</f>
        <v>0</v>
      </c>
      <c r="O89" s="44">
        <f>SUMIF(Index!$M$15:$M$40,'perhitungan individu'!H89,Index!$N$15:$N$40)*Index!$E$9</f>
        <v>0</v>
      </c>
      <c r="P89" s="44">
        <f>SUMIF('Kinera Unit Kerja'!$B$4:$B$20,'perhitungan individu'!$G89,'Kinera Unit Kerja'!$G$4:$G$20)*Index!$E$10</f>
        <v>0</v>
      </c>
      <c r="Q89" s="44">
        <f>I89*Index!$E$11</f>
        <v>0</v>
      </c>
      <c r="R89" s="47">
        <f t="shared" si="1"/>
        <v>0</v>
      </c>
      <c r="S89" s="48">
        <f t="shared" si="0"/>
        <v>0</v>
      </c>
    </row>
    <row r="90" spans="1:19">
      <c r="A90" s="42"/>
      <c r="B90" s="33"/>
      <c r="C90" s="33"/>
      <c r="D90" s="43"/>
      <c r="E90" s="33"/>
      <c r="F90" s="33"/>
      <c r="G90" s="33"/>
      <c r="H90" s="33"/>
      <c r="I90" s="33"/>
      <c r="J90" s="44">
        <f>(D90/100000)*Index!$E$4</f>
        <v>0</v>
      </c>
      <c r="K90" s="44">
        <f>SUMIF(Index!$C$15:$C$40,'perhitungan individu'!E90,Index!$D$15:$D$40)*Index!$E$5</f>
        <v>0</v>
      </c>
      <c r="L90" s="44">
        <f>SUMIF(Index!$E$15:$E$40,'perhitungan individu'!F90,Index!F$15:F$40)*Index!$E$6</f>
        <v>0</v>
      </c>
      <c r="M90" s="44">
        <f>SUMIF(Index!$H$15:$H$40,'perhitungan individu'!$G90,Index!$I$15:$I$40)*Index!$E$7</f>
        <v>0</v>
      </c>
      <c r="N90" s="44">
        <f>SUMIF(Index!$K$15:$K$40,'perhitungan individu'!$G90,Index!$L$15:$L$40)*Index!$E$8</f>
        <v>0</v>
      </c>
      <c r="O90" s="44">
        <f>SUMIF(Index!$M$15:$M$40,'perhitungan individu'!H90,Index!$N$15:$N$40)*Index!$E$9</f>
        <v>0</v>
      </c>
      <c r="P90" s="44">
        <f>SUMIF('Kinera Unit Kerja'!$B$4:$B$20,'perhitungan individu'!$G90,'Kinera Unit Kerja'!$G$4:$G$20)*Index!$E$10</f>
        <v>0</v>
      </c>
      <c r="Q90" s="44">
        <f>I90*Index!$E$11</f>
        <v>0</v>
      </c>
      <c r="R90" s="47">
        <f t="shared" si="1"/>
        <v>0</v>
      </c>
      <c r="S90" s="48">
        <f t="shared" si="0"/>
        <v>0</v>
      </c>
    </row>
    <row r="91" spans="1:19">
      <c r="A91" s="42"/>
      <c r="B91" s="33"/>
      <c r="C91" s="33"/>
      <c r="D91" s="43"/>
      <c r="E91" s="33"/>
      <c r="F91" s="33"/>
      <c r="G91" s="33"/>
      <c r="H91" s="33"/>
      <c r="I91" s="33"/>
      <c r="J91" s="44">
        <f>(D91/100000)*Index!$E$4</f>
        <v>0</v>
      </c>
      <c r="K91" s="44">
        <f>SUMIF(Index!$C$15:$C$40,'perhitungan individu'!E91,Index!$D$15:$D$40)*Index!$E$5</f>
        <v>0</v>
      </c>
      <c r="L91" s="44">
        <f>SUMIF(Index!$E$15:$E$40,'perhitungan individu'!F91,Index!F$15:F$40)*Index!$E$6</f>
        <v>0</v>
      </c>
      <c r="M91" s="44">
        <f>SUMIF(Index!$H$15:$H$40,'perhitungan individu'!$G91,Index!$I$15:$I$40)*Index!$E$7</f>
        <v>0</v>
      </c>
      <c r="N91" s="44">
        <f>SUMIF(Index!$K$15:$K$40,'perhitungan individu'!$G91,Index!$L$15:$L$40)*Index!$E$8</f>
        <v>0</v>
      </c>
      <c r="O91" s="44">
        <f>SUMIF(Index!$M$15:$M$40,'perhitungan individu'!H91,Index!$N$15:$N$40)*Index!$E$9</f>
        <v>0</v>
      </c>
      <c r="P91" s="44">
        <f>SUMIF('Kinera Unit Kerja'!$B$4:$B$20,'perhitungan individu'!$G91,'Kinera Unit Kerja'!$G$4:$G$20)*Index!$E$10</f>
        <v>0</v>
      </c>
      <c r="Q91" s="44">
        <f>I91*Index!$E$11</f>
        <v>0</v>
      </c>
      <c r="R91" s="47">
        <f t="shared" si="1"/>
        <v>0</v>
      </c>
      <c r="S91" s="48">
        <f t="shared" si="0"/>
        <v>0</v>
      </c>
    </row>
    <row r="92" spans="1:19">
      <c r="A92" s="42"/>
      <c r="B92" s="33"/>
      <c r="C92" s="33"/>
      <c r="D92" s="43"/>
      <c r="E92" s="33"/>
      <c r="F92" s="33"/>
      <c r="G92" s="33"/>
      <c r="H92" s="33"/>
      <c r="I92" s="33"/>
      <c r="J92" s="44">
        <f>(D92/100000)*Index!$E$4</f>
        <v>0</v>
      </c>
      <c r="K92" s="44">
        <f>SUMIF(Index!$C$15:$C$40,'perhitungan individu'!E92,Index!$D$15:$D$40)*Index!$E$5</f>
        <v>0</v>
      </c>
      <c r="L92" s="44">
        <f>SUMIF(Index!$E$15:$E$40,'perhitungan individu'!F92,Index!F$15:F$40)*Index!$E$6</f>
        <v>0</v>
      </c>
      <c r="M92" s="44">
        <f>SUMIF(Index!$H$15:$H$40,'perhitungan individu'!$G92,Index!$I$15:$I$40)*Index!$E$7</f>
        <v>0</v>
      </c>
      <c r="N92" s="44">
        <f>SUMIF(Index!$K$15:$K$40,'perhitungan individu'!$G92,Index!$L$15:$L$40)*Index!$E$8</f>
        <v>0</v>
      </c>
      <c r="O92" s="44">
        <f>SUMIF(Index!$M$15:$M$40,'perhitungan individu'!H92,Index!$N$15:$N$40)*Index!$E$9</f>
        <v>0</v>
      </c>
      <c r="P92" s="44">
        <f>SUMIF('Kinera Unit Kerja'!$B$4:$B$20,'perhitungan individu'!$G92,'Kinera Unit Kerja'!$G$4:$G$20)*Index!$E$10</f>
        <v>0</v>
      </c>
      <c r="Q92" s="44">
        <f>I92*Index!$E$11</f>
        <v>0</v>
      </c>
      <c r="R92" s="47">
        <f t="shared" si="1"/>
        <v>0</v>
      </c>
      <c r="S92" s="48">
        <f t="shared" si="0"/>
        <v>0</v>
      </c>
    </row>
    <row r="93" spans="1:19">
      <c r="A93" s="42"/>
      <c r="B93" s="33"/>
      <c r="C93" s="33"/>
      <c r="D93" s="43"/>
      <c r="E93" s="33"/>
      <c r="F93" s="33"/>
      <c r="G93" s="33"/>
      <c r="H93" s="33"/>
      <c r="I93" s="33"/>
      <c r="J93" s="44">
        <f>(D93/100000)*Index!$E$4</f>
        <v>0</v>
      </c>
      <c r="K93" s="44">
        <f>SUMIF(Index!$C$15:$C$40,'perhitungan individu'!E93,Index!$D$15:$D$40)*Index!$E$5</f>
        <v>0</v>
      </c>
      <c r="L93" s="44">
        <f>SUMIF(Index!$E$15:$E$40,'perhitungan individu'!F93,Index!F$15:F$40)*Index!$E$6</f>
        <v>0</v>
      </c>
      <c r="M93" s="44">
        <f>SUMIF(Index!$H$15:$H$40,'perhitungan individu'!$G93,Index!$I$15:$I$40)*Index!$E$7</f>
        <v>0</v>
      </c>
      <c r="N93" s="44">
        <f>SUMIF(Index!$K$15:$K$40,'perhitungan individu'!$G93,Index!$L$15:$L$40)*Index!$E$8</f>
        <v>0</v>
      </c>
      <c r="O93" s="44">
        <f>SUMIF(Index!$M$15:$M$40,'perhitungan individu'!H93,Index!$N$15:$N$40)*Index!$E$9</f>
        <v>0</v>
      </c>
      <c r="P93" s="44">
        <f>SUMIF('Kinera Unit Kerja'!$B$4:$B$20,'perhitungan individu'!$G93,'Kinera Unit Kerja'!$G$4:$G$20)*Index!$E$10</f>
        <v>0</v>
      </c>
      <c r="Q93" s="44">
        <f>I93*Index!$E$11</f>
        <v>0</v>
      </c>
      <c r="R93" s="47">
        <f t="shared" si="1"/>
        <v>0</v>
      </c>
      <c r="S93" s="48">
        <f t="shared" si="0"/>
        <v>0</v>
      </c>
    </row>
    <row r="94" spans="1:19">
      <c r="A94" s="42"/>
      <c r="B94" s="33"/>
      <c r="C94" s="33"/>
      <c r="D94" s="43"/>
      <c r="E94" s="33"/>
      <c r="F94" s="33"/>
      <c r="G94" s="33"/>
      <c r="H94" s="33"/>
      <c r="I94" s="33"/>
      <c r="J94" s="44">
        <f>(D94/100000)*Index!$E$4</f>
        <v>0</v>
      </c>
      <c r="K94" s="44">
        <f>SUMIF(Index!$C$15:$C$40,'perhitungan individu'!E94,Index!$D$15:$D$40)*Index!$E$5</f>
        <v>0</v>
      </c>
      <c r="L94" s="44">
        <f>SUMIF(Index!$E$15:$E$40,'perhitungan individu'!F94,Index!F$15:F$40)*Index!$E$6</f>
        <v>0</v>
      </c>
      <c r="M94" s="44">
        <f>SUMIF(Index!$H$15:$H$40,'perhitungan individu'!$G94,Index!$I$15:$I$40)*Index!$E$7</f>
        <v>0</v>
      </c>
      <c r="N94" s="44">
        <f>SUMIF(Index!$K$15:$K$40,'perhitungan individu'!$G94,Index!$L$15:$L$40)*Index!$E$8</f>
        <v>0</v>
      </c>
      <c r="O94" s="44">
        <f>SUMIF(Index!$M$15:$M$40,'perhitungan individu'!H94,Index!$N$15:$N$40)*Index!$E$9</f>
        <v>0</v>
      </c>
      <c r="P94" s="44">
        <f>SUMIF('Kinera Unit Kerja'!$B$4:$B$20,'perhitungan individu'!$G94,'Kinera Unit Kerja'!$G$4:$G$20)*Index!$E$10</f>
        <v>0</v>
      </c>
      <c r="Q94" s="44">
        <f>I94*Index!$E$11</f>
        <v>0</v>
      </c>
      <c r="R94" s="47">
        <f t="shared" si="1"/>
        <v>0</v>
      </c>
      <c r="S94" s="48">
        <f t="shared" si="0"/>
        <v>0</v>
      </c>
    </row>
    <row r="95" spans="1:19">
      <c r="A95" s="42"/>
      <c r="B95" s="33"/>
      <c r="C95" s="33"/>
      <c r="D95" s="43"/>
      <c r="E95" s="33"/>
      <c r="F95" s="33"/>
      <c r="G95" s="33"/>
      <c r="H95" s="33"/>
      <c r="I95" s="33"/>
      <c r="J95" s="44">
        <f>(D95/100000)*Index!$E$4</f>
        <v>0</v>
      </c>
      <c r="K95" s="44">
        <f>SUMIF(Index!$C$15:$C$40,'perhitungan individu'!E95,Index!$D$15:$D$40)*Index!$E$5</f>
        <v>0</v>
      </c>
      <c r="L95" s="44">
        <f>SUMIF(Index!$E$15:$E$40,'perhitungan individu'!F95,Index!F$15:F$40)*Index!$E$6</f>
        <v>0</v>
      </c>
      <c r="M95" s="44">
        <f>SUMIF(Index!$H$15:$H$40,'perhitungan individu'!$G95,Index!$I$15:$I$40)*Index!$E$7</f>
        <v>0</v>
      </c>
      <c r="N95" s="44">
        <f>SUMIF(Index!$K$15:$K$40,'perhitungan individu'!$G95,Index!$L$15:$L$40)*Index!$E$8</f>
        <v>0</v>
      </c>
      <c r="O95" s="44">
        <f>SUMIF(Index!$M$15:$M$40,'perhitungan individu'!H95,Index!$N$15:$N$40)*Index!$E$9</f>
        <v>0</v>
      </c>
      <c r="P95" s="44">
        <f>SUMIF('Kinera Unit Kerja'!$B$4:$B$20,'perhitungan individu'!$G95,'Kinera Unit Kerja'!$G$4:$G$20)*Index!$E$10</f>
        <v>0</v>
      </c>
      <c r="Q95" s="44">
        <f>I95*Index!$E$11</f>
        <v>0</v>
      </c>
      <c r="R95" s="47">
        <f t="shared" si="1"/>
        <v>0</v>
      </c>
      <c r="S95" s="48">
        <f t="shared" si="0"/>
        <v>0</v>
      </c>
    </row>
    <row r="96" spans="1:19">
      <c r="A96" s="42"/>
      <c r="B96" s="33"/>
      <c r="C96" s="33"/>
      <c r="D96" s="43"/>
      <c r="E96" s="33"/>
      <c r="F96" s="33"/>
      <c r="G96" s="33"/>
      <c r="H96" s="33"/>
      <c r="I96" s="33"/>
      <c r="J96" s="44">
        <f>(D96/100000)*Index!$E$4</f>
        <v>0</v>
      </c>
      <c r="K96" s="44">
        <f>SUMIF(Index!$C$15:$C$40,'perhitungan individu'!E96,Index!$D$15:$D$40)*Index!$E$5</f>
        <v>0</v>
      </c>
      <c r="L96" s="44">
        <f>SUMIF(Index!$E$15:$E$40,'perhitungan individu'!F96,Index!F$15:F$40)*Index!$E$6</f>
        <v>0</v>
      </c>
      <c r="M96" s="44">
        <f>SUMIF(Index!$H$15:$H$40,'perhitungan individu'!$G96,Index!$I$15:$I$40)*Index!$E$7</f>
        <v>0</v>
      </c>
      <c r="N96" s="44">
        <f>SUMIF(Index!$K$15:$K$40,'perhitungan individu'!$G96,Index!$L$15:$L$40)*Index!$E$8</f>
        <v>0</v>
      </c>
      <c r="O96" s="44">
        <f>SUMIF(Index!$M$15:$M$40,'perhitungan individu'!H96,Index!$N$15:$N$40)*Index!$E$9</f>
        <v>0</v>
      </c>
      <c r="P96" s="44">
        <f>SUMIF('Kinera Unit Kerja'!$B$4:$B$20,'perhitungan individu'!$G96,'Kinera Unit Kerja'!$G$4:$G$20)*Index!$E$10</f>
        <v>0</v>
      </c>
      <c r="Q96" s="44">
        <f>I96*Index!$E$11</f>
        <v>0</v>
      </c>
      <c r="R96" s="47">
        <f t="shared" si="1"/>
        <v>0</v>
      </c>
      <c r="S96" s="48">
        <f t="shared" ref="S96:S159" si="2">$B$29/$R$29*$R96</f>
        <v>0</v>
      </c>
    </row>
    <row r="97" spans="1:19">
      <c r="A97" s="42"/>
      <c r="B97" s="33"/>
      <c r="C97" s="33"/>
      <c r="D97" s="43"/>
      <c r="E97" s="33"/>
      <c r="F97" s="33"/>
      <c r="G97" s="33"/>
      <c r="H97" s="33"/>
      <c r="I97" s="33"/>
      <c r="J97" s="44">
        <f>(D97/100000)*Index!$E$4</f>
        <v>0</v>
      </c>
      <c r="K97" s="44">
        <f>SUMIF(Index!$C$15:$C$40,'perhitungan individu'!E97,Index!$D$15:$D$40)*Index!$E$5</f>
        <v>0</v>
      </c>
      <c r="L97" s="44">
        <f>SUMIF(Index!$E$15:$E$40,'perhitungan individu'!F97,Index!F$15:F$40)*Index!$E$6</f>
        <v>0</v>
      </c>
      <c r="M97" s="44">
        <f>SUMIF(Index!$H$15:$H$40,'perhitungan individu'!$G97,Index!$I$15:$I$40)*Index!$E$7</f>
        <v>0</v>
      </c>
      <c r="N97" s="44">
        <f>SUMIF(Index!$K$15:$K$40,'perhitungan individu'!$G97,Index!$L$15:$L$40)*Index!$E$8</f>
        <v>0</v>
      </c>
      <c r="O97" s="44">
        <f>SUMIF(Index!$M$15:$M$40,'perhitungan individu'!H97,Index!$N$15:$N$40)*Index!$E$9</f>
        <v>0</v>
      </c>
      <c r="P97" s="44">
        <f>SUMIF('Kinera Unit Kerja'!$B$4:$B$20,'perhitungan individu'!$G97,'Kinera Unit Kerja'!$G$4:$G$20)*Index!$E$10</f>
        <v>0</v>
      </c>
      <c r="Q97" s="44">
        <f>I97*Index!$E$11</f>
        <v>0</v>
      </c>
      <c r="R97" s="47">
        <f t="shared" si="1"/>
        <v>0</v>
      </c>
      <c r="S97" s="48">
        <f t="shared" si="2"/>
        <v>0</v>
      </c>
    </row>
    <row r="98" spans="1:19">
      <c r="A98" s="42"/>
      <c r="B98" s="33"/>
      <c r="C98" s="33"/>
      <c r="D98" s="43"/>
      <c r="E98" s="33"/>
      <c r="F98" s="33"/>
      <c r="G98" s="33"/>
      <c r="H98" s="33"/>
      <c r="I98" s="33"/>
      <c r="J98" s="44">
        <f>(D98/100000)*Index!$E$4</f>
        <v>0</v>
      </c>
      <c r="K98" s="44">
        <f>SUMIF(Index!$C$15:$C$40,'perhitungan individu'!E98,Index!$D$15:$D$40)*Index!$E$5</f>
        <v>0</v>
      </c>
      <c r="L98" s="44">
        <f>SUMIF(Index!$E$15:$E$40,'perhitungan individu'!F98,Index!F$15:F$40)*Index!$E$6</f>
        <v>0</v>
      </c>
      <c r="M98" s="44">
        <f>SUMIF(Index!$H$15:$H$40,'perhitungan individu'!$G98,Index!$I$15:$I$40)*Index!$E$7</f>
        <v>0</v>
      </c>
      <c r="N98" s="44">
        <f>SUMIF(Index!$K$15:$K$40,'perhitungan individu'!$G98,Index!$L$15:$L$40)*Index!$E$8</f>
        <v>0</v>
      </c>
      <c r="O98" s="44">
        <f>SUMIF(Index!$M$15:$M$40,'perhitungan individu'!H98,Index!$N$15:$N$40)*Index!$E$9</f>
        <v>0</v>
      </c>
      <c r="P98" s="44">
        <f>SUMIF('Kinera Unit Kerja'!$B$4:$B$20,'perhitungan individu'!$G98,'Kinera Unit Kerja'!$G$4:$G$20)*Index!$E$10</f>
        <v>0</v>
      </c>
      <c r="Q98" s="44">
        <f>I98*Index!$E$11</f>
        <v>0</v>
      </c>
      <c r="R98" s="47">
        <f t="shared" si="1"/>
        <v>0</v>
      </c>
      <c r="S98" s="48">
        <f t="shared" si="2"/>
        <v>0</v>
      </c>
    </row>
    <row r="99" spans="1:19">
      <c r="A99" s="42"/>
      <c r="B99" s="33"/>
      <c r="C99" s="33"/>
      <c r="D99" s="43"/>
      <c r="E99" s="33"/>
      <c r="F99" s="33"/>
      <c r="G99" s="33"/>
      <c r="H99" s="33"/>
      <c r="I99" s="33"/>
      <c r="J99" s="44">
        <f>(D99/100000)*Index!$E$4</f>
        <v>0</v>
      </c>
      <c r="K99" s="44">
        <f>SUMIF(Index!$C$15:$C$40,'perhitungan individu'!E99,Index!$D$15:$D$40)*Index!$E$5</f>
        <v>0</v>
      </c>
      <c r="L99" s="44">
        <f>SUMIF(Index!$E$15:$E$40,'perhitungan individu'!F99,Index!F$15:F$40)*Index!$E$6</f>
        <v>0</v>
      </c>
      <c r="M99" s="44">
        <f>SUMIF(Index!$H$15:$H$40,'perhitungan individu'!$G99,Index!$I$15:$I$40)*Index!$E$7</f>
        <v>0</v>
      </c>
      <c r="N99" s="44">
        <f>SUMIF(Index!$K$15:$K$40,'perhitungan individu'!$G99,Index!$L$15:$L$40)*Index!$E$8</f>
        <v>0</v>
      </c>
      <c r="O99" s="44">
        <f>SUMIF(Index!$M$15:$M$40,'perhitungan individu'!H99,Index!$N$15:$N$40)*Index!$E$9</f>
        <v>0</v>
      </c>
      <c r="P99" s="44">
        <f>SUMIF('Kinera Unit Kerja'!$B$4:$B$20,'perhitungan individu'!$G99,'Kinera Unit Kerja'!$G$4:$G$20)*Index!$E$10</f>
        <v>0</v>
      </c>
      <c r="Q99" s="44">
        <f>I99*Index!$E$11</f>
        <v>0</v>
      </c>
      <c r="R99" s="47">
        <f t="shared" ref="R99:R162" si="3">SUM(J99:Q99)</f>
        <v>0</v>
      </c>
      <c r="S99" s="48">
        <f t="shared" si="2"/>
        <v>0</v>
      </c>
    </row>
    <row r="100" spans="1:19">
      <c r="A100" s="42"/>
      <c r="B100" s="33"/>
      <c r="C100" s="33"/>
      <c r="D100" s="43"/>
      <c r="E100" s="33"/>
      <c r="F100" s="33"/>
      <c r="G100" s="33"/>
      <c r="H100" s="33"/>
      <c r="I100" s="33"/>
      <c r="J100" s="44">
        <f>(D100/100000)*Index!$E$4</f>
        <v>0</v>
      </c>
      <c r="K100" s="44">
        <f>SUMIF(Index!$C$15:$C$40,'perhitungan individu'!E100,Index!$D$15:$D$40)*Index!$E$5</f>
        <v>0</v>
      </c>
      <c r="L100" s="44">
        <f>SUMIF(Index!$E$15:$E$40,'perhitungan individu'!F100,Index!F$15:F$40)*Index!$E$6</f>
        <v>0</v>
      </c>
      <c r="M100" s="44">
        <f>SUMIF(Index!$H$15:$H$40,'perhitungan individu'!$G100,Index!$I$15:$I$40)*Index!$E$7</f>
        <v>0</v>
      </c>
      <c r="N100" s="44">
        <f>SUMIF(Index!$K$15:$K$40,'perhitungan individu'!$G100,Index!$L$15:$L$40)*Index!$E$8</f>
        <v>0</v>
      </c>
      <c r="O100" s="44">
        <f>SUMIF(Index!$M$15:$M$40,'perhitungan individu'!H100,Index!$N$15:$N$40)*Index!$E$9</f>
        <v>0</v>
      </c>
      <c r="P100" s="44">
        <f>SUMIF('Kinera Unit Kerja'!$B$4:$B$20,'perhitungan individu'!$G100,'Kinera Unit Kerja'!$G$4:$G$20)*Index!$E$10</f>
        <v>0</v>
      </c>
      <c r="Q100" s="44">
        <f>I100*Index!$E$11</f>
        <v>0</v>
      </c>
      <c r="R100" s="47">
        <f t="shared" si="3"/>
        <v>0</v>
      </c>
      <c r="S100" s="48">
        <f t="shared" si="2"/>
        <v>0</v>
      </c>
    </row>
    <row r="101" spans="1:19">
      <c r="A101" s="42"/>
      <c r="B101" s="33"/>
      <c r="C101" s="33"/>
      <c r="D101" s="43"/>
      <c r="E101" s="33"/>
      <c r="F101" s="33"/>
      <c r="G101" s="33"/>
      <c r="H101" s="33"/>
      <c r="I101" s="33"/>
      <c r="J101" s="44">
        <f>(D101/100000)*Index!$E$4</f>
        <v>0</v>
      </c>
      <c r="K101" s="44">
        <f>SUMIF(Index!$C$15:$C$40,'perhitungan individu'!E101,Index!$D$15:$D$40)*Index!$E$5</f>
        <v>0</v>
      </c>
      <c r="L101" s="44">
        <f>SUMIF(Index!$E$15:$E$40,'perhitungan individu'!F101,Index!F$15:F$40)*Index!$E$6</f>
        <v>0</v>
      </c>
      <c r="M101" s="44">
        <f>SUMIF(Index!$H$15:$H$40,'perhitungan individu'!$G101,Index!$I$15:$I$40)*Index!$E$7</f>
        <v>0</v>
      </c>
      <c r="N101" s="44">
        <f>SUMIF(Index!$K$15:$K$40,'perhitungan individu'!$G101,Index!$L$15:$L$40)*Index!$E$8</f>
        <v>0</v>
      </c>
      <c r="O101" s="44">
        <f>SUMIF(Index!$M$15:$M$40,'perhitungan individu'!H101,Index!$N$15:$N$40)*Index!$E$9</f>
        <v>0</v>
      </c>
      <c r="P101" s="44">
        <f>SUMIF('Kinera Unit Kerja'!$B$4:$B$20,'perhitungan individu'!$G101,'Kinera Unit Kerja'!$G$4:$G$20)*Index!$E$10</f>
        <v>0</v>
      </c>
      <c r="Q101" s="44">
        <f>I101*Index!$E$11</f>
        <v>0</v>
      </c>
      <c r="R101" s="47">
        <f t="shared" si="3"/>
        <v>0</v>
      </c>
      <c r="S101" s="48">
        <f t="shared" si="2"/>
        <v>0</v>
      </c>
    </row>
    <row r="102" spans="1:19">
      <c r="A102" s="42"/>
      <c r="B102" s="33"/>
      <c r="C102" s="33"/>
      <c r="D102" s="43"/>
      <c r="E102" s="33"/>
      <c r="F102" s="33"/>
      <c r="G102" s="33"/>
      <c r="H102" s="33"/>
      <c r="I102" s="33"/>
      <c r="J102" s="44">
        <f>(D102/100000)*Index!$E$4</f>
        <v>0</v>
      </c>
      <c r="K102" s="44">
        <f>SUMIF(Index!$C$15:$C$40,'perhitungan individu'!E102,Index!$D$15:$D$40)*Index!$E$5</f>
        <v>0</v>
      </c>
      <c r="L102" s="44">
        <f>SUMIF(Index!$E$15:$E$40,'perhitungan individu'!F102,Index!F$15:F$40)*Index!$E$6</f>
        <v>0</v>
      </c>
      <c r="M102" s="44">
        <f>SUMIF(Index!$H$15:$H$40,'perhitungan individu'!$G102,Index!$I$15:$I$40)*Index!$E$7</f>
        <v>0</v>
      </c>
      <c r="N102" s="44">
        <f>SUMIF(Index!$K$15:$K$40,'perhitungan individu'!$G102,Index!$L$15:$L$40)*Index!$E$8</f>
        <v>0</v>
      </c>
      <c r="O102" s="44">
        <f>SUMIF(Index!$M$15:$M$40,'perhitungan individu'!H102,Index!$N$15:$N$40)*Index!$E$9</f>
        <v>0</v>
      </c>
      <c r="P102" s="44">
        <f>SUMIF('Kinera Unit Kerja'!$B$4:$B$20,'perhitungan individu'!$G102,'Kinera Unit Kerja'!$G$4:$G$20)*Index!$E$10</f>
        <v>0</v>
      </c>
      <c r="Q102" s="44">
        <f>I102*Index!$E$11</f>
        <v>0</v>
      </c>
      <c r="R102" s="47">
        <f t="shared" si="3"/>
        <v>0</v>
      </c>
      <c r="S102" s="48">
        <f t="shared" si="2"/>
        <v>0</v>
      </c>
    </row>
    <row r="103" spans="1:19">
      <c r="A103" s="42"/>
      <c r="B103" s="33"/>
      <c r="C103" s="33"/>
      <c r="D103" s="43"/>
      <c r="E103" s="33"/>
      <c r="F103" s="33"/>
      <c r="G103" s="33"/>
      <c r="H103" s="33"/>
      <c r="I103" s="33"/>
      <c r="J103" s="44">
        <f>(D103/100000)*Index!$E$4</f>
        <v>0</v>
      </c>
      <c r="K103" s="44">
        <f>SUMIF(Index!$C$15:$C$40,'perhitungan individu'!E103,Index!$D$15:$D$40)*Index!$E$5</f>
        <v>0</v>
      </c>
      <c r="L103" s="44">
        <f>SUMIF(Index!$E$15:$E$40,'perhitungan individu'!F103,Index!F$15:F$40)*Index!$E$6</f>
        <v>0</v>
      </c>
      <c r="M103" s="44">
        <f>SUMIF(Index!$H$15:$H$40,'perhitungan individu'!$G103,Index!$I$15:$I$40)*Index!$E$7</f>
        <v>0</v>
      </c>
      <c r="N103" s="44">
        <f>SUMIF(Index!$K$15:$K$40,'perhitungan individu'!$G103,Index!$L$15:$L$40)*Index!$E$8</f>
        <v>0</v>
      </c>
      <c r="O103" s="44">
        <f>SUMIF(Index!$M$15:$M$40,'perhitungan individu'!H103,Index!$N$15:$N$40)*Index!$E$9</f>
        <v>0</v>
      </c>
      <c r="P103" s="44">
        <f>SUMIF('Kinera Unit Kerja'!$B$4:$B$20,'perhitungan individu'!$G103,'Kinera Unit Kerja'!$G$4:$G$20)*Index!$E$10</f>
        <v>0</v>
      </c>
      <c r="Q103" s="44">
        <f>I103*Index!$E$11</f>
        <v>0</v>
      </c>
      <c r="R103" s="47">
        <f t="shared" si="3"/>
        <v>0</v>
      </c>
      <c r="S103" s="48">
        <f t="shared" si="2"/>
        <v>0</v>
      </c>
    </row>
    <row r="104" spans="1:19">
      <c r="A104" s="42"/>
      <c r="B104" s="33"/>
      <c r="C104" s="33"/>
      <c r="D104" s="43"/>
      <c r="E104" s="33"/>
      <c r="F104" s="33"/>
      <c r="G104" s="33"/>
      <c r="H104" s="33"/>
      <c r="I104" s="33"/>
      <c r="J104" s="44">
        <f>(D104/100000)*Index!$E$4</f>
        <v>0</v>
      </c>
      <c r="K104" s="44">
        <f>SUMIF(Index!$C$15:$C$40,'perhitungan individu'!E104,Index!$D$15:$D$40)*Index!$E$5</f>
        <v>0</v>
      </c>
      <c r="L104" s="44">
        <f>SUMIF(Index!$E$15:$E$40,'perhitungan individu'!F104,Index!F$15:F$40)*Index!$E$6</f>
        <v>0</v>
      </c>
      <c r="M104" s="44">
        <f>SUMIF(Index!$H$15:$H$40,'perhitungan individu'!$G104,Index!$I$15:$I$40)*Index!$E$7</f>
        <v>0</v>
      </c>
      <c r="N104" s="44">
        <f>SUMIF(Index!$K$15:$K$40,'perhitungan individu'!$G104,Index!$L$15:$L$40)*Index!$E$8</f>
        <v>0</v>
      </c>
      <c r="O104" s="44">
        <f>SUMIF(Index!$M$15:$M$40,'perhitungan individu'!H104,Index!$N$15:$N$40)*Index!$E$9</f>
        <v>0</v>
      </c>
      <c r="P104" s="44">
        <f>SUMIF('Kinera Unit Kerja'!$B$4:$B$20,'perhitungan individu'!$G104,'Kinera Unit Kerja'!$G$4:$G$20)*Index!$E$10</f>
        <v>0</v>
      </c>
      <c r="Q104" s="44">
        <f>I104*Index!$E$11</f>
        <v>0</v>
      </c>
      <c r="R104" s="47">
        <f t="shared" si="3"/>
        <v>0</v>
      </c>
      <c r="S104" s="48">
        <f t="shared" si="2"/>
        <v>0</v>
      </c>
    </row>
    <row r="105" spans="1:19">
      <c r="A105" s="42"/>
      <c r="B105" s="33"/>
      <c r="C105" s="33"/>
      <c r="D105" s="43"/>
      <c r="E105" s="33"/>
      <c r="F105" s="33"/>
      <c r="G105" s="33"/>
      <c r="H105" s="33"/>
      <c r="I105" s="33"/>
      <c r="J105" s="44">
        <f>(D105/100000)*Index!$E$4</f>
        <v>0</v>
      </c>
      <c r="K105" s="44">
        <f>SUMIF(Index!$C$15:$C$40,'perhitungan individu'!E105,Index!$D$15:$D$40)*Index!$E$5</f>
        <v>0</v>
      </c>
      <c r="L105" s="44">
        <f>SUMIF(Index!$E$15:$E$40,'perhitungan individu'!F105,Index!F$15:F$40)*Index!$E$6</f>
        <v>0</v>
      </c>
      <c r="M105" s="44">
        <f>SUMIF(Index!$H$15:$H$40,'perhitungan individu'!$G105,Index!$I$15:$I$40)*Index!$E$7</f>
        <v>0</v>
      </c>
      <c r="N105" s="44">
        <f>SUMIF(Index!$K$15:$K$40,'perhitungan individu'!$G105,Index!$L$15:$L$40)*Index!$E$8</f>
        <v>0</v>
      </c>
      <c r="O105" s="44">
        <f>SUMIF(Index!$M$15:$M$40,'perhitungan individu'!H105,Index!$N$15:$N$40)*Index!$E$9</f>
        <v>0</v>
      </c>
      <c r="P105" s="44">
        <f>SUMIF('Kinera Unit Kerja'!$B$4:$B$20,'perhitungan individu'!$G105,'Kinera Unit Kerja'!$G$4:$G$20)*Index!$E$10</f>
        <v>0</v>
      </c>
      <c r="Q105" s="44">
        <f>I105*Index!$E$11</f>
        <v>0</v>
      </c>
      <c r="R105" s="47">
        <f t="shared" si="3"/>
        <v>0</v>
      </c>
      <c r="S105" s="48">
        <f t="shared" si="2"/>
        <v>0</v>
      </c>
    </row>
    <row r="106" spans="1:19">
      <c r="A106" s="42"/>
      <c r="B106" s="33"/>
      <c r="C106" s="33"/>
      <c r="D106" s="43"/>
      <c r="E106" s="33"/>
      <c r="F106" s="33"/>
      <c r="G106" s="33"/>
      <c r="H106" s="33"/>
      <c r="I106" s="33"/>
      <c r="J106" s="44">
        <f>(D106/100000)*Index!$E$4</f>
        <v>0</v>
      </c>
      <c r="K106" s="44">
        <f>SUMIF(Index!$C$15:$C$40,'perhitungan individu'!E106,Index!$D$15:$D$40)*Index!$E$5</f>
        <v>0</v>
      </c>
      <c r="L106" s="44">
        <f>SUMIF(Index!$E$15:$E$40,'perhitungan individu'!F106,Index!F$15:F$40)*Index!$E$6</f>
        <v>0</v>
      </c>
      <c r="M106" s="44">
        <f>SUMIF(Index!$H$15:$H$40,'perhitungan individu'!$G106,Index!$I$15:$I$40)*Index!$E$7</f>
        <v>0</v>
      </c>
      <c r="N106" s="44">
        <f>SUMIF(Index!$K$15:$K$40,'perhitungan individu'!$G106,Index!$L$15:$L$40)*Index!$E$8</f>
        <v>0</v>
      </c>
      <c r="O106" s="44">
        <f>SUMIF(Index!$M$15:$M$40,'perhitungan individu'!H106,Index!$N$15:$N$40)*Index!$E$9</f>
        <v>0</v>
      </c>
      <c r="P106" s="44">
        <f>SUMIF('Kinera Unit Kerja'!$B$4:$B$20,'perhitungan individu'!$G106,'Kinera Unit Kerja'!$G$4:$G$20)*Index!$E$10</f>
        <v>0</v>
      </c>
      <c r="Q106" s="44">
        <f>I106*Index!$E$11</f>
        <v>0</v>
      </c>
      <c r="R106" s="47">
        <f t="shared" si="3"/>
        <v>0</v>
      </c>
      <c r="S106" s="48">
        <f t="shared" si="2"/>
        <v>0</v>
      </c>
    </row>
    <row r="107" spans="1:19">
      <c r="A107" s="42"/>
      <c r="B107" s="33"/>
      <c r="C107" s="33"/>
      <c r="D107" s="43"/>
      <c r="E107" s="33"/>
      <c r="F107" s="33"/>
      <c r="G107" s="33"/>
      <c r="H107" s="33"/>
      <c r="I107" s="33"/>
      <c r="J107" s="44">
        <f>(D107/100000)*Index!$E$4</f>
        <v>0</v>
      </c>
      <c r="K107" s="44">
        <f>SUMIF(Index!$C$15:$C$40,'perhitungan individu'!E107,Index!$D$15:$D$40)*Index!$E$5</f>
        <v>0</v>
      </c>
      <c r="L107" s="44">
        <f>SUMIF(Index!$E$15:$E$40,'perhitungan individu'!F107,Index!F$15:F$40)*Index!$E$6</f>
        <v>0</v>
      </c>
      <c r="M107" s="44">
        <f>SUMIF(Index!$H$15:$H$40,'perhitungan individu'!$G107,Index!$I$15:$I$40)*Index!$E$7</f>
        <v>0</v>
      </c>
      <c r="N107" s="44">
        <f>SUMIF(Index!$K$15:$K$40,'perhitungan individu'!$G107,Index!$L$15:$L$40)*Index!$E$8</f>
        <v>0</v>
      </c>
      <c r="O107" s="44">
        <f>SUMIF(Index!$M$15:$M$40,'perhitungan individu'!H107,Index!$N$15:$N$40)*Index!$E$9</f>
        <v>0</v>
      </c>
      <c r="P107" s="44">
        <f>SUMIF('Kinera Unit Kerja'!$B$4:$B$20,'perhitungan individu'!$G107,'Kinera Unit Kerja'!$G$4:$G$20)*Index!$E$10</f>
        <v>0</v>
      </c>
      <c r="Q107" s="44">
        <f>I107*Index!$E$11</f>
        <v>0</v>
      </c>
      <c r="R107" s="47">
        <f t="shared" si="3"/>
        <v>0</v>
      </c>
      <c r="S107" s="48">
        <f t="shared" si="2"/>
        <v>0</v>
      </c>
    </row>
    <row r="108" spans="1:19">
      <c r="A108" s="42"/>
      <c r="B108" s="33"/>
      <c r="C108" s="33"/>
      <c r="D108" s="43"/>
      <c r="E108" s="33"/>
      <c r="F108" s="33"/>
      <c r="G108" s="33"/>
      <c r="H108" s="33"/>
      <c r="I108" s="33"/>
      <c r="J108" s="44">
        <f>(D108/100000)*Index!$E$4</f>
        <v>0</v>
      </c>
      <c r="K108" s="44">
        <f>SUMIF(Index!$C$15:$C$40,'perhitungan individu'!E108,Index!$D$15:$D$40)*Index!$E$5</f>
        <v>0</v>
      </c>
      <c r="L108" s="44">
        <f>SUMIF(Index!$E$15:$E$40,'perhitungan individu'!F108,Index!F$15:F$40)*Index!$E$6</f>
        <v>0</v>
      </c>
      <c r="M108" s="44">
        <f>SUMIF(Index!$H$15:$H$40,'perhitungan individu'!$G108,Index!$I$15:$I$40)*Index!$E$7</f>
        <v>0</v>
      </c>
      <c r="N108" s="44">
        <f>SUMIF(Index!$K$15:$K$40,'perhitungan individu'!$G108,Index!$L$15:$L$40)*Index!$E$8</f>
        <v>0</v>
      </c>
      <c r="O108" s="44">
        <f>SUMIF(Index!$M$15:$M$40,'perhitungan individu'!H108,Index!$N$15:$N$40)*Index!$E$9</f>
        <v>0</v>
      </c>
      <c r="P108" s="44">
        <f>SUMIF('Kinera Unit Kerja'!$B$4:$B$20,'perhitungan individu'!$G108,'Kinera Unit Kerja'!$G$4:$G$20)*Index!$E$10</f>
        <v>0</v>
      </c>
      <c r="Q108" s="44">
        <f>I108*Index!$E$11</f>
        <v>0</v>
      </c>
      <c r="R108" s="47">
        <f t="shared" si="3"/>
        <v>0</v>
      </c>
      <c r="S108" s="48">
        <f t="shared" si="2"/>
        <v>0</v>
      </c>
    </row>
    <row r="109" spans="1:19">
      <c r="A109" s="42"/>
      <c r="B109" s="33"/>
      <c r="C109" s="33"/>
      <c r="D109" s="43"/>
      <c r="E109" s="33"/>
      <c r="F109" s="33"/>
      <c r="G109" s="33"/>
      <c r="H109" s="33"/>
      <c r="I109" s="33"/>
      <c r="J109" s="44">
        <f>(D109/100000)*Index!$E$4</f>
        <v>0</v>
      </c>
      <c r="K109" s="44">
        <f>SUMIF(Index!$C$15:$C$40,'perhitungan individu'!E109,Index!$D$15:$D$40)*Index!$E$5</f>
        <v>0</v>
      </c>
      <c r="L109" s="44">
        <f>SUMIF(Index!$E$15:$E$40,'perhitungan individu'!F109,Index!F$15:F$40)*Index!$E$6</f>
        <v>0</v>
      </c>
      <c r="M109" s="44">
        <f>SUMIF(Index!$H$15:$H$40,'perhitungan individu'!$G109,Index!$I$15:$I$40)*Index!$E$7</f>
        <v>0</v>
      </c>
      <c r="N109" s="44">
        <f>SUMIF(Index!$K$15:$K$40,'perhitungan individu'!$G109,Index!$L$15:$L$40)*Index!$E$8</f>
        <v>0</v>
      </c>
      <c r="O109" s="44">
        <f>SUMIF(Index!$M$15:$M$40,'perhitungan individu'!H109,Index!$N$15:$N$40)*Index!$E$9</f>
        <v>0</v>
      </c>
      <c r="P109" s="44">
        <f>SUMIF('Kinera Unit Kerja'!$B$4:$B$20,'perhitungan individu'!$G109,'Kinera Unit Kerja'!$G$4:$G$20)*Index!$E$10</f>
        <v>0</v>
      </c>
      <c r="Q109" s="44">
        <f>I109*Index!$E$11</f>
        <v>0</v>
      </c>
      <c r="R109" s="47">
        <f t="shared" si="3"/>
        <v>0</v>
      </c>
      <c r="S109" s="48">
        <f t="shared" si="2"/>
        <v>0</v>
      </c>
    </row>
    <row r="110" spans="1:19">
      <c r="A110" s="42"/>
      <c r="B110" s="33"/>
      <c r="C110" s="33"/>
      <c r="D110" s="43"/>
      <c r="E110" s="33"/>
      <c r="F110" s="33"/>
      <c r="G110" s="33"/>
      <c r="H110" s="33"/>
      <c r="I110" s="33"/>
      <c r="J110" s="44">
        <f>(D110/100000)*Index!$E$4</f>
        <v>0</v>
      </c>
      <c r="K110" s="44">
        <f>SUMIF(Index!$C$15:$C$40,'perhitungan individu'!E110,Index!$D$15:$D$40)*Index!$E$5</f>
        <v>0</v>
      </c>
      <c r="L110" s="44">
        <f>SUMIF(Index!$E$15:$E$40,'perhitungan individu'!F110,Index!F$15:F$40)*Index!$E$6</f>
        <v>0</v>
      </c>
      <c r="M110" s="44">
        <f>SUMIF(Index!$H$15:$H$40,'perhitungan individu'!$G110,Index!$I$15:$I$40)*Index!$E$7</f>
        <v>0</v>
      </c>
      <c r="N110" s="44">
        <f>SUMIF(Index!$K$15:$K$40,'perhitungan individu'!$G110,Index!$L$15:$L$40)*Index!$E$8</f>
        <v>0</v>
      </c>
      <c r="O110" s="44">
        <f>SUMIF(Index!$M$15:$M$40,'perhitungan individu'!H110,Index!$N$15:$N$40)*Index!$E$9</f>
        <v>0</v>
      </c>
      <c r="P110" s="44">
        <f>SUMIF('Kinera Unit Kerja'!$B$4:$B$20,'perhitungan individu'!$G110,'Kinera Unit Kerja'!$G$4:$G$20)*Index!$E$10</f>
        <v>0</v>
      </c>
      <c r="Q110" s="44">
        <f>I110*Index!$E$11</f>
        <v>0</v>
      </c>
      <c r="R110" s="47">
        <f t="shared" si="3"/>
        <v>0</v>
      </c>
      <c r="S110" s="48">
        <f t="shared" si="2"/>
        <v>0</v>
      </c>
    </row>
    <row r="111" spans="1:19">
      <c r="A111" s="42"/>
      <c r="B111" s="33"/>
      <c r="C111" s="33"/>
      <c r="D111" s="43"/>
      <c r="E111" s="33"/>
      <c r="F111" s="33"/>
      <c r="G111" s="33"/>
      <c r="H111" s="33"/>
      <c r="I111" s="33"/>
      <c r="J111" s="44">
        <f>(D111/100000)*Index!$E$4</f>
        <v>0</v>
      </c>
      <c r="K111" s="44">
        <f>SUMIF(Index!$C$15:$C$40,'perhitungan individu'!E111,Index!$D$15:$D$40)*Index!$E$5</f>
        <v>0</v>
      </c>
      <c r="L111" s="44">
        <f>SUMIF(Index!$E$15:$E$40,'perhitungan individu'!F111,Index!F$15:F$40)*Index!$E$6</f>
        <v>0</v>
      </c>
      <c r="M111" s="44">
        <f>SUMIF(Index!$H$15:$H$40,'perhitungan individu'!$G111,Index!$I$15:$I$40)*Index!$E$7</f>
        <v>0</v>
      </c>
      <c r="N111" s="44">
        <f>SUMIF(Index!$K$15:$K$40,'perhitungan individu'!$G111,Index!$L$15:$L$40)*Index!$E$8</f>
        <v>0</v>
      </c>
      <c r="O111" s="44">
        <f>SUMIF(Index!$M$15:$M$40,'perhitungan individu'!H111,Index!$N$15:$N$40)*Index!$E$9</f>
        <v>0</v>
      </c>
      <c r="P111" s="44">
        <f>SUMIF('Kinera Unit Kerja'!$B$4:$B$20,'perhitungan individu'!$G111,'Kinera Unit Kerja'!$G$4:$G$20)*Index!$E$10</f>
        <v>0</v>
      </c>
      <c r="Q111" s="44">
        <f>I111*Index!$E$11</f>
        <v>0</v>
      </c>
      <c r="R111" s="47">
        <f t="shared" si="3"/>
        <v>0</v>
      </c>
      <c r="S111" s="48">
        <f t="shared" si="2"/>
        <v>0</v>
      </c>
    </row>
    <row r="112" spans="1:19">
      <c r="A112" s="42"/>
      <c r="B112" s="33"/>
      <c r="C112" s="33"/>
      <c r="D112" s="43"/>
      <c r="E112" s="33"/>
      <c r="F112" s="33"/>
      <c r="G112" s="33"/>
      <c r="H112" s="33"/>
      <c r="I112" s="33"/>
      <c r="J112" s="44">
        <f>(D112/100000)*Index!$E$4</f>
        <v>0</v>
      </c>
      <c r="K112" s="44">
        <f>SUMIF(Index!$C$15:$C$40,'perhitungan individu'!E112,Index!$D$15:$D$40)*Index!$E$5</f>
        <v>0</v>
      </c>
      <c r="L112" s="44">
        <f>SUMIF(Index!$E$15:$E$40,'perhitungan individu'!F112,Index!F$15:F$40)*Index!$E$6</f>
        <v>0</v>
      </c>
      <c r="M112" s="44">
        <f>SUMIF(Index!$H$15:$H$40,'perhitungan individu'!$G112,Index!$I$15:$I$40)*Index!$E$7</f>
        <v>0</v>
      </c>
      <c r="N112" s="44">
        <f>SUMIF(Index!$K$15:$K$40,'perhitungan individu'!$G112,Index!$L$15:$L$40)*Index!$E$8</f>
        <v>0</v>
      </c>
      <c r="O112" s="44">
        <f>SUMIF(Index!$M$15:$M$40,'perhitungan individu'!H112,Index!$N$15:$N$40)*Index!$E$9</f>
        <v>0</v>
      </c>
      <c r="P112" s="44">
        <f>SUMIF('Kinera Unit Kerja'!$B$4:$B$20,'perhitungan individu'!$G112,'Kinera Unit Kerja'!$G$4:$G$20)*Index!$E$10</f>
        <v>0</v>
      </c>
      <c r="Q112" s="44">
        <f>I112*Index!$E$11</f>
        <v>0</v>
      </c>
      <c r="R112" s="47">
        <f t="shared" si="3"/>
        <v>0</v>
      </c>
      <c r="S112" s="48">
        <f t="shared" si="2"/>
        <v>0</v>
      </c>
    </row>
    <row r="113" spans="1:19">
      <c r="A113" s="42"/>
      <c r="B113" s="33"/>
      <c r="C113" s="33"/>
      <c r="D113" s="43"/>
      <c r="E113" s="33"/>
      <c r="F113" s="33"/>
      <c r="G113" s="33"/>
      <c r="H113" s="33"/>
      <c r="I113" s="33"/>
      <c r="J113" s="44">
        <f>(D113/100000)*Index!$E$4</f>
        <v>0</v>
      </c>
      <c r="K113" s="44">
        <f>SUMIF(Index!$C$15:$C$40,'perhitungan individu'!E113,Index!$D$15:$D$40)*Index!$E$5</f>
        <v>0</v>
      </c>
      <c r="L113" s="44">
        <f>SUMIF(Index!$E$15:$E$40,'perhitungan individu'!F113,Index!F$15:F$40)*Index!$E$6</f>
        <v>0</v>
      </c>
      <c r="M113" s="44">
        <f>SUMIF(Index!$H$15:$H$40,'perhitungan individu'!$G113,Index!$I$15:$I$40)*Index!$E$7</f>
        <v>0</v>
      </c>
      <c r="N113" s="44">
        <f>SUMIF(Index!$K$15:$K$40,'perhitungan individu'!$G113,Index!$L$15:$L$40)*Index!$E$8</f>
        <v>0</v>
      </c>
      <c r="O113" s="44">
        <f>SUMIF(Index!$M$15:$M$40,'perhitungan individu'!H113,Index!$N$15:$N$40)*Index!$E$9</f>
        <v>0</v>
      </c>
      <c r="P113" s="44">
        <f>SUMIF('Kinera Unit Kerja'!$B$4:$B$20,'perhitungan individu'!$G113,'Kinera Unit Kerja'!$G$4:$G$20)*Index!$E$10</f>
        <v>0</v>
      </c>
      <c r="Q113" s="44">
        <f>I113*Index!$E$11</f>
        <v>0</v>
      </c>
      <c r="R113" s="47">
        <f t="shared" si="3"/>
        <v>0</v>
      </c>
      <c r="S113" s="48">
        <f t="shared" si="2"/>
        <v>0</v>
      </c>
    </row>
    <row r="114" spans="1:19">
      <c r="A114" s="42"/>
      <c r="B114" s="33"/>
      <c r="C114" s="33"/>
      <c r="D114" s="43"/>
      <c r="E114" s="33"/>
      <c r="F114" s="33"/>
      <c r="G114" s="33"/>
      <c r="H114" s="33"/>
      <c r="I114" s="33"/>
      <c r="J114" s="44">
        <f>(D114/100000)*Index!$E$4</f>
        <v>0</v>
      </c>
      <c r="K114" s="44">
        <f>SUMIF(Index!$C$15:$C$40,'perhitungan individu'!E114,Index!$D$15:$D$40)*Index!$E$5</f>
        <v>0</v>
      </c>
      <c r="L114" s="44">
        <f>SUMIF(Index!$E$15:$E$40,'perhitungan individu'!F114,Index!F$15:F$40)*Index!$E$6</f>
        <v>0</v>
      </c>
      <c r="M114" s="44">
        <f>SUMIF(Index!$H$15:$H$40,'perhitungan individu'!$G114,Index!$I$15:$I$40)*Index!$E$7</f>
        <v>0</v>
      </c>
      <c r="N114" s="44">
        <f>SUMIF(Index!$K$15:$K$40,'perhitungan individu'!$G114,Index!$L$15:$L$40)*Index!$E$8</f>
        <v>0</v>
      </c>
      <c r="O114" s="44">
        <f>SUMIF(Index!$M$15:$M$40,'perhitungan individu'!H114,Index!$N$15:$N$40)*Index!$E$9</f>
        <v>0</v>
      </c>
      <c r="P114" s="44">
        <f>SUMIF('Kinera Unit Kerja'!$B$4:$B$20,'perhitungan individu'!$G114,'Kinera Unit Kerja'!$G$4:$G$20)*Index!$E$10</f>
        <v>0</v>
      </c>
      <c r="Q114" s="44">
        <f>I114*Index!$E$11</f>
        <v>0</v>
      </c>
      <c r="R114" s="47">
        <f t="shared" si="3"/>
        <v>0</v>
      </c>
      <c r="S114" s="48">
        <f t="shared" si="2"/>
        <v>0</v>
      </c>
    </row>
    <row r="115" spans="1:19">
      <c r="A115" s="42"/>
      <c r="B115" s="33"/>
      <c r="C115" s="33"/>
      <c r="D115" s="43"/>
      <c r="E115" s="33"/>
      <c r="F115" s="33"/>
      <c r="G115" s="33"/>
      <c r="H115" s="33"/>
      <c r="I115" s="33"/>
      <c r="J115" s="44">
        <f>(D115/100000)*Index!$E$4</f>
        <v>0</v>
      </c>
      <c r="K115" s="44">
        <f>SUMIF(Index!$C$15:$C$40,'perhitungan individu'!E115,Index!$D$15:$D$40)*Index!$E$5</f>
        <v>0</v>
      </c>
      <c r="L115" s="44">
        <f>SUMIF(Index!$E$15:$E$40,'perhitungan individu'!F115,Index!F$15:F$40)*Index!$E$6</f>
        <v>0</v>
      </c>
      <c r="M115" s="44">
        <f>SUMIF(Index!$H$15:$H$40,'perhitungan individu'!$G115,Index!$I$15:$I$40)*Index!$E$7</f>
        <v>0</v>
      </c>
      <c r="N115" s="44">
        <f>SUMIF(Index!$K$15:$K$40,'perhitungan individu'!$G115,Index!$L$15:$L$40)*Index!$E$8</f>
        <v>0</v>
      </c>
      <c r="O115" s="44">
        <f>SUMIF(Index!$M$15:$M$40,'perhitungan individu'!H115,Index!$N$15:$N$40)*Index!$E$9</f>
        <v>0</v>
      </c>
      <c r="P115" s="44">
        <f>SUMIF('Kinera Unit Kerja'!$B$4:$B$20,'perhitungan individu'!$G115,'Kinera Unit Kerja'!$G$4:$G$20)*Index!$E$10</f>
        <v>0</v>
      </c>
      <c r="Q115" s="44">
        <f>I115*Index!$E$11</f>
        <v>0</v>
      </c>
      <c r="R115" s="47">
        <f t="shared" si="3"/>
        <v>0</v>
      </c>
      <c r="S115" s="48">
        <f t="shared" si="2"/>
        <v>0</v>
      </c>
    </row>
    <row r="116" spans="1:19">
      <c r="A116" s="42"/>
      <c r="B116" s="33"/>
      <c r="C116" s="33"/>
      <c r="D116" s="43"/>
      <c r="E116" s="33"/>
      <c r="F116" s="33"/>
      <c r="G116" s="33"/>
      <c r="H116" s="33"/>
      <c r="I116" s="33"/>
      <c r="J116" s="44">
        <f>(D116/100000)*Index!$E$4</f>
        <v>0</v>
      </c>
      <c r="K116" s="44">
        <f>SUMIF(Index!$C$15:$C$40,'perhitungan individu'!E116,Index!$D$15:$D$40)*Index!$E$5</f>
        <v>0</v>
      </c>
      <c r="L116" s="44">
        <f>SUMIF(Index!$E$15:$E$40,'perhitungan individu'!F116,Index!F$15:F$40)*Index!$E$6</f>
        <v>0</v>
      </c>
      <c r="M116" s="44">
        <f>SUMIF(Index!$H$15:$H$40,'perhitungan individu'!$G116,Index!$I$15:$I$40)*Index!$E$7</f>
        <v>0</v>
      </c>
      <c r="N116" s="44">
        <f>SUMIF(Index!$K$15:$K$40,'perhitungan individu'!$G116,Index!$L$15:$L$40)*Index!$E$8</f>
        <v>0</v>
      </c>
      <c r="O116" s="44">
        <f>SUMIF(Index!$M$15:$M$40,'perhitungan individu'!H116,Index!$N$15:$N$40)*Index!$E$9</f>
        <v>0</v>
      </c>
      <c r="P116" s="44">
        <f>SUMIF('Kinera Unit Kerja'!$B$4:$B$20,'perhitungan individu'!$G116,'Kinera Unit Kerja'!$G$4:$G$20)*Index!$E$10</f>
        <v>0</v>
      </c>
      <c r="Q116" s="44">
        <f>I116*Index!$E$11</f>
        <v>0</v>
      </c>
      <c r="R116" s="47">
        <f t="shared" si="3"/>
        <v>0</v>
      </c>
      <c r="S116" s="48">
        <f t="shared" si="2"/>
        <v>0</v>
      </c>
    </row>
    <row r="117" spans="1:19">
      <c r="A117" s="42"/>
      <c r="B117" s="33"/>
      <c r="C117" s="33"/>
      <c r="D117" s="43"/>
      <c r="E117" s="33"/>
      <c r="F117" s="33"/>
      <c r="G117" s="33"/>
      <c r="H117" s="33"/>
      <c r="I117" s="33"/>
      <c r="J117" s="44">
        <f>(D117/100000)*Index!$E$4</f>
        <v>0</v>
      </c>
      <c r="K117" s="44">
        <f>SUMIF(Index!$C$15:$C$40,'perhitungan individu'!E117,Index!$D$15:$D$40)*Index!$E$5</f>
        <v>0</v>
      </c>
      <c r="L117" s="44">
        <f>SUMIF(Index!$E$15:$E$40,'perhitungan individu'!F117,Index!F$15:F$40)*Index!$E$6</f>
        <v>0</v>
      </c>
      <c r="M117" s="44">
        <f>SUMIF(Index!$H$15:$H$40,'perhitungan individu'!$G117,Index!$I$15:$I$40)*Index!$E$7</f>
        <v>0</v>
      </c>
      <c r="N117" s="44">
        <f>SUMIF(Index!$K$15:$K$40,'perhitungan individu'!$G117,Index!$L$15:$L$40)*Index!$E$8</f>
        <v>0</v>
      </c>
      <c r="O117" s="44">
        <f>SUMIF(Index!$M$15:$M$40,'perhitungan individu'!H117,Index!$N$15:$N$40)*Index!$E$9</f>
        <v>0</v>
      </c>
      <c r="P117" s="44">
        <f>SUMIF('Kinera Unit Kerja'!$B$4:$B$20,'perhitungan individu'!$G117,'Kinera Unit Kerja'!$G$4:$G$20)*Index!$E$10</f>
        <v>0</v>
      </c>
      <c r="Q117" s="44">
        <f>I117*Index!$E$11</f>
        <v>0</v>
      </c>
      <c r="R117" s="47">
        <f t="shared" si="3"/>
        <v>0</v>
      </c>
      <c r="S117" s="48">
        <f t="shared" si="2"/>
        <v>0</v>
      </c>
    </row>
    <row r="118" spans="1:19">
      <c r="A118" s="42"/>
      <c r="B118" s="33"/>
      <c r="C118" s="33"/>
      <c r="D118" s="43"/>
      <c r="E118" s="33"/>
      <c r="F118" s="33"/>
      <c r="G118" s="33"/>
      <c r="H118" s="33"/>
      <c r="I118" s="33"/>
      <c r="J118" s="44">
        <f>(D118/100000)*Index!$E$4</f>
        <v>0</v>
      </c>
      <c r="K118" s="44">
        <f>SUMIF(Index!$C$15:$C$40,'perhitungan individu'!E118,Index!$D$15:$D$40)*Index!$E$5</f>
        <v>0</v>
      </c>
      <c r="L118" s="44">
        <f>SUMIF(Index!$E$15:$E$40,'perhitungan individu'!F118,Index!F$15:F$40)*Index!$E$6</f>
        <v>0</v>
      </c>
      <c r="M118" s="44">
        <f>SUMIF(Index!$H$15:$H$40,'perhitungan individu'!$G118,Index!$I$15:$I$40)*Index!$E$7</f>
        <v>0</v>
      </c>
      <c r="N118" s="44">
        <f>SUMIF(Index!$K$15:$K$40,'perhitungan individu'!$G118,Index!$L$15:$L$40)*Index!$E$8</f>
        <v>0</v>
      </c>
      <c r="O118" s="44">
        <f>SUMIF(Index!$M$15:$M$40,'perhitungan individu'!H118,Index!$N$15:$N$40)*Index!$E$9</f>
        <v>0</v>
      </c>
      <c r="P118" s="44">
        <f>SUMIF('Kinera Unit Kerja'!$B$4:$B$20,'perhitungan individu'!$G118,'Kinera Unit Kerja'!$G$4:$G$20)*Index!$E$10</f>
        <v>0</v>
      </c>
      <c r="Q118" s="44">
        <f>I118*Index!$E$11</f>
        <v>0</v>
      </c>
      <c r="R118" s="47">
        <f t="shared" si="3"/>
        <v>0</v>
      </c>
      <c r="S118" s="48">
        <f t="shared" si="2"/>
        <v>0</v>
      </c>
    </row>
    <row r="119" spans="1:19">
      <c r="A119" s="42"/>
      <c r="B119" s="33"/>
      <c r="C119" s="33"/>
      <c r="D119" s="43"/>
      <c r="E119" s="33"/>
      <c r="F119" s="33"/>
      <c r="G119" s="33"/>
      <c r="H119" s="33"/>
      <c r="I119" s="33"/>
      <c r="J119" s="44">
        <f>(D119/100000)*Index!$E$4</f>
        <v>0</v>
      </c>
      <c r="K119" s="44">
        <f>SUMIF(Index!$C$15:$C$40,'perhitungan individu'!E119,Index!$D$15:$D$40)*Index!$E$5</f>
        <v>0</v>
      </c>
      <c r="L119" s="44">
        <f>SUMIF(Index!$E$15:$E$40,'perhitungan individu'!F119,Index!F$15:F$40)*Index!$E$6</f>
        <v>0</v>
      </c>
      <c r="M119" s="44">
        <f>SUMIF(Index!$H$15:$H$40,'perhitungan individu'!$G119,Index!$I$15:$I$40)*Index!$E$7</f>
        <v>0</v>
      </c>
      <c r="N119" s="44">
        <f>SUMIF(Index!$K$15:$K$40,'perhitungan individu'!$G119,Index!$L$15:$L$40)*Index!$E$8</f>
        <v>0</v>
      </c>
      <c r="O119" s="44">
        <f>SUMIF(Index!$M$15:$M$40,'perhitungan individu'!H119,Index!$N$15:$N$40)*Index!$E$9</f>
        <v>0</v>
      </c>
      <c r="P119" s="44">
        <f>SUMIF('Kinera Unit Kerja'!$B$4:$B$20,'perhitungan individu'!$G119,'Kinera Unit Kerja'!$G$4:$G$20)*Index!$E$10</f>
        <v>0</v>
      </c>
      <c r="Q119" s="44">
        <f>I119*Index!$E$11</f>
        <v>0</v>
      </c>
      <c r="R119" s="47">
        <f t="shared" si="3"/>
        <v>0</v>
      </c>
      <c r="S119" s="48">
        <f t="shared" si="2"/>
        <v>0</v>
      </c>
    </row>
    <row r="120" spans="1:19">
      <c r="A120" s="42"/>
      <c r="B120" s="33"/>
      <c r="C120" s="33"/>
      <c r="D120" s="43"/>
      <c r="E120" s="33"/>
      <c r="F120" s="33"/>
      <c r="G120" s="33"/>
      <c r="H120" s="33"/>
      <c r="I120" s="33"/>
      <c r="J120" s="44">
        <f>(D120/100000)*Index!$E$4</f>
        <v>0</v>
      </c>
      <c r="K120" s="44">
        <f>SUMIF(Index!$C$15:$C$40,'perhitungan individu'!E120,Index!$D$15:$D$40)*Index!$E$5</f>
        <v>0</v>
      </c>
      <c r="L120" s="44">
        <f>SUMIF(Index!$E$15:$E$40,'perhitungan individu'!F120,Index!F$15:F$40)*Index!$E$6</f>
        <v>0</v>
      </c>
      <c r="M120" s="44">
        <f>SUMIF(Index!$H$15:$H$40,'perhitungan individu'!$G120,Index!$I$15:$I$40)*Index!$E$7</f>
        <v>0</v>
      </c>
      <c r="N120" s="44">
        <f>SUMIF(Index!$K$15:$K$40,'perhitungan individu'!$G120,Index!$L$15:$L$40)*Index!$E$8</f>
        <v>0</v>
      </c>
      <c r="O120" s="44">
        <f>SUMIF(Index!$M$15:$M$40,'perhitungan individu'!H120,Index!$N$15:$N$40)*Index!$E$9</f>
        <v>0</v>
      </c>
      <c r="P120" s="44">
        <f>SUMIF('Kinera Unit Kerja'!$B$4:$B$20,'perhitungan individu'!$G120,'Kinera Unit Kerja'!$G$4:$G$20)*Index!$E$10</f>
        <v>0</v>
      </c>
      <c r="Q120" s="44">
        <f>I120*Index!$E$11</f>
        <v>0</v>
      </c>
      <c r="R120" s="47">
        <f t="shared" si="3"/>
        <v>0</v>
      </c>
      <c r="S120" s="48">
        <f t="shared" si="2"/>
        <v>0</v>
      </c>
    </row>
    <row r="121" spans="1:19">
      <c r="A121" s="42"/>
      <c r="B121" s="33"/>
      <c r="C121" s="33"/>
      <c r="D121" s="43"/>
      <c r="E121" s="33"/>
      <c r="F121" s="33"/>
      <c r="G121" s="33"/>
      <c r="H121" s="33"/>
      <c r="I121" s="33"/>
      <c r="J121" s="44">
        <f>(D121/100000)*Index!$E$4</f>
        <v>0</v>
      </c>
      <c r="K121" s="44">
        <f>SUMIF(Index!$C$15:$C$40,'perhitungan individu'!E121,Index!$D$15:$D$40)*Index!$E$5</f>
        <v>0</v>
      </c>
      <c r="L121" s="44">
        <f>SUMIF(Index!$E$15:$E$40,'perhitungan individu'!F121,Index!F$15:F$40)*Index!$E$6</f>
        <v>0</v>
      </c>
      <c r="M121" s="44">
        <f>SUMIF(Index!$H$15:$H$40,'perhitungan individu'!$G121,Index!$I$15:$I$40)*Index!$E$7</f>
        <v>0</v>
      </c>
      <c r="N121" s="44">
        <f>SUMIF(Index!$K$15:$K$40,'perhitungan individu'!$G121,Index!$L$15:$L$40)*Index!$E$8</f>
        <v>0</v>
      </c>
      <c r="O121" s="44">
        <f>SUMIF(Index!$M$15:$M$40,'perhitungan individu'!H121,Index!$N$15:$N$40)*Index!$E$9</f>
        <v>0</v>
      </c>
      <c r="P121" s="44">
        <f>SUMIF('Kinera Unit Kerja'!$B$4:$B$20,'perhitungan individu'!$G121,'Kinera Unit Kerja'!$G$4:$G$20)*Index!$E$10</f>
        <v>0</v>
      </c>
      <c r="Q121" s="44">
        <f>I121*Index!$E$11</f>
        <v>0</v>
      </c>
      <c r="R121" s="47">
        <f t="shared" si="3"/>
        <v>0</v>
      </c>
      <c r="S121" s="48">
        <f t="shared" si="2"/>
        <v>0</v>
      </c>
    </row>
    <row r="122" spans="1:19">
      <c r="A122" s="42"/>
      <c r="B122" s="33"/>
      <c r="C122" s="33"/>
      <c r="D122" s="43"/>
      <c r="E122" s="33"/>
      <c r="F122" s="33"/>
      <c r="G122" s="33"/>
      <c r="H122" s="33"/>
      <c r="I122" s="33"/>
      <c r="J122" s="44">
        <f>(D122/100000)*Index!$E$4</f>
        <v>0</v>
      </c>
      <c r="K122" s="44">
        <f>SUMIF(Index!$C$15:$C$40,'perhitungan individu'!E122,Index!$D$15:$D$40)*Index!$E$5</f>
        <v>0</v>
      </c>
      <c r="L122" s="44">
        <f>SUMIF(Index!$E$15:$E$40,'perhitungan individu'!F122,Index!F$15:F$40)*Index!$E$6</f>
        <v>0</v>
      </c>
      <c r="M122" s="44">
        <f>SUMIF(Index!$H$15:$H$40,'perhitungan individu'!$G122,Index!$I$15:$I$40)*Index!$E$7</f>
        <v>0</v>
      </c>
      <c r="N122" s="44">
        <f>SUMIF(Index!$K$15:$K$40,'perhitungan individu'!$G122,Index!$L$15:$L$40)*Index!$E$8</f>
        <v>0</v>
      </c>
      <c r="O122" s="44">
        <f>SUMIF(Index!$M$15:$M$40,'perhitungan individu'!H122,Index!$N$15:$N$40)*Index!$E$9</f>
        <v>0</v>
      </c>
      <c r="P122" s="44">
        <f>SUMIF('Kinera Unit Kerja'!$B$4:$B$20,'perhitungan individu'!$G122,'Kinera Unit Kerja'!$G$4:$G$20)*Index!$E$10</f>
        <v>0</v>
      </c>
      <c r="Q122" s="44">
        <f>I122*Index!$E$11</f>
        <v>0</v>
      </c>
      <c r="R122" s="47">
        <f t="shared" si="3"/>
        <v>0</v>
      </c>
      <c r="S122" s="48">
        <f t="shared" si="2"/>
        <v>0</v>
      </c>
    </row>
    <row r="123" spans="1:19">
      <c r="A123" s="42"/>
      <c r="B123" s="33"/>
      <c r="C123" s="33"/>
      <c r="D123" s="43"/>
      <c r="E123" s="33"/>
      <c r="F123" s="33"/>
      <c r="G123" s="33"/>
      <c r="H123" s="33"/>
      <c r="I123" s="33"/>
      <c r="J123" s="44">
        <f>(D123/100000)*Index!$E$4</f>
        <v>0</v>
      </c>
      <c r="K123" s="44">
        <f>SUMIF(Index!$C$15:$C$40,'perhitungan individu'!E123,Index!$D$15:$D$40)*Index!$E$5</f>
        <v>0</v>
      </c>
      <c r="L123" s="44">
        <f>SUMIF(Index!$E$15:$E$40,'perhitungan individu'!F123,Index!F$15:F$40)*Index!$E$6</f>
        <v>0</v>
      </c>
      <c r="M123" s="44">
        <f>SUMIF(Index!$H$15:$H$40,'perhitungan individu'!$G123,Index!$I$15:$I$40)*Index!$E$7</f>
        <v>0</v>
      </c>
      <c r="N123" s="44">
        <f>SUMIF(Index!$K$15:$K$40,'perhitungan individu'!$G123,Index!$L$15:$L$40)*Index!$E$8</f>
        <v>0</v>
      </c>
      <c r="O123" s="44">
        <f>SUMIF(Index!$M$15:$M$40,'perhitungan individu'!H123,Index!$N$15:$N$40)*Index!$E$9</f>
        <v>0</v>
      </c>
      <c r="P123" s="44">
        <f>SUMIF('Kinera Unit Kerja'!$B$4:$B$20,'perhitungan individu'!$G123,'Kinera Unit Kerja'!$G$4:$G$20)*Index!$E$10</f>
        <v>0</v>
      </c>
      <c r="Q123" s="44">
        <f>I123*Index!$E$11</f>
        <v>0</v>
      </c>
      <c r="R123" s="47">
        <f t="shared" si="3"/>
        <v>0</v>
      </c>
      <c r="S123" s="48">
        <f t="shared" si="2"/>
        <v>0</v>
      </c>
    </row>
    <row r="124" spans="1:19">
      <c r="A124" s="42"/>
      <c r="B124" s="33"/>
      <c r="C124" s="33"/>
      <c r="D124" s="43"/>
      <c r="E124" s="33"/>
      <c r="F124" s="33"/>
      <c r="G124" s="33"/>
      <c r="H124" s="33"/>
      <c r="I124" s="33"/>
      <c r="J124" s="44">
        <f>(D124/100000)*Index!$E$4</f>
        <v>0</v>
      </c>
      <c r="K124" s="44">
        <f>SUMIF(Index!$C$15:$C$40,'perhitungan individu'!E124,Index!$D$15:$D$40)*Index!$E$5</f>
        <v>0</v>
      </c>
      <c r="L124" s="44">
        <f>SUMIF(Index!$E$15:$E$40,'perhitungan individu'!F124,Index!F$15:F$40)*Index!$E$6</f>
        <v>0</v>
      </c>
      <c r="M124" s="44">
        <f>SUMIF(Index!$H$15:$H$40,'perhitungan individu'!$G124,Index!$I$15:$I$40)*Index!$E$7</f>
        <v>0</v>
      </c>
      <c r="N124" s="44">
        <f>SUMIF(Index!$K$15:$K$40,'perhitungan individu'!$G124,Index!$L$15:$L$40)*Index!$E$8</f>
        <v>0</v>
      </c>
      <c r="O124" s="44">
        <f>SUMIF(Index!$M$15:$M$40,'perhitungan individu'!H124,Index!$N$15:$N$40)*Index!$E$9</f>
        <v>0</v>
      </c>
      <c r="P124" s="44">
        <f>SUMIF('Kinera Unit Kerja'!$B$4:$B$20,'perhitungan individu'!$G124,'Kinera Unit Kerja'!$G$4:$G$20)*Index!$E$10</f>
        <v>0</v>
      </c>
      <c r="Q124" s="44">
        <f>I124*Index!$E$11</f>
        <v>0</v>
      </c>
      <c r="R124" s="47">
        <f t="shared" si="3"/>
        <v>0</v>
      </c>
      <c r="S124" s="48">
        <f t="shared" si="2"/>
        <v>0</v>
      </c>
    </row>
    <row r="125" spans="1:19">
      <c r="A125" s="42"/>
      <c r="B125" s="33"/>
      <c r="C125" s="33"/>
      <c r="D125" s="43"/>
      <c r="E125" s="33"/>
      <c r="F125" s="33"/>
      <c r="G125" s="33"/>
      <c r="H125" s="33"/>
      <c r="I125" s="33"/>
      <c r="J125" s="44">
        <f>(D125/100000)*Index!$E$4</f>
        <v>0</v>
      </c>
      <c r="K125" s="44">
        <f>SUMIF(Index!$C$15:$C$40,'perhitungan individu'!E125,Index!$D$15:$D$40)*Index!$E$5</f>
        <v>0</v>
      </c>
      <c r="L125" s="44">
        <f>SUMIF(Index!$E$15:$E$40,'perhitungan individu'!F125,Index!F$15:F$40)*Index!$E$6</f>
        <v>0</v>
      </c>
      <c r="M125" s="44">
        <f>SUMIF(Index!$H$15:$H$40,'perhitungan individu'!$G125,Index!$I$15:$I$40)*Index!$E$7</f>
        <v>0</v>
      </c>
      <c r="N125" s="44">
        <f>SUMIF(Index!$K$15:$K$40,'perhitungan individu'!$G125,Index!$L$15:$L$40)*Index!$E$8</f>
        <v>0</v>
      </c>
      <c r="O125" s="44">
        <f>SUMIF(Index!$M$15:$M$40,'perhitungan individu'!H125,Index!$N$15:$N$40)*Index!$E$9</f>
        <v>0</v>
      </c>
      <c r="P125" s="44">
        <f>SUMIF('Kinera Unit Kerja'!$B$4:$B$20,'perhitungan individu'!$G125,'Kinera Unit Kerja'!$G$4:$G$20)*Index!$E$10</f>
        <v>0</v>
      </c>
      <c r="Q125" s="44">
        <f>I125*Index!$E$11</f>
        <v>0</v>
      </c>
      <c r="R125" s="47">
        <f t="shared" si="3"/>
        <v>0</v>
      </c>
      <c r="S125" s="48">
        <f t="shared" si="2"/>
        <v>0</v>
      </c>
    </row>
    <row r="126" spans="1:19">
      <c r="A126" s="42"/>
      <c r="B126" s="33"/>
      <c r="C126" s="33"/>
      <c r="D126" s="43"/>
      <c r="E126" s="33"/>
      <c r="F126" s="33"/>
      <c r="G126" s="33"/>
      <c r="H126" s="33"/>
      <c r="I126" s="33"/>
      <c r="J126" s="44">
        <f>(D126/100000)*Index!$E$4</f>
        <v>0</v>
      </c>
      <c r="K126" s="44">
        <f>SUMIF(Index!$C$15:$C$40,'perhitungan individu'!E126,Index!$D$15:$D$40)*Index!$E$5</f>
        <v>0</v>
      </c>
      <c r="L126" s="44">
        <f>SUMIF(Index!$E$15:$E$40,'perhitungan individu'!F126,Index!F$15:F$40)*Index!$E$6</f>
        <v>0</v>
      </c>
      <c r="M126" s="44">
        <f>SUMIF(Index!$H$15:$H$40,'perhitungan individu'!$G126,Index!$I$15:$I$40)*Index!$E$7</f>
        <v>0</v>
      </c>
      <c r="N126" s="44">
        <f>SUMIF(Index!$K$15:$K$40,'perhitungan individu'!$G126,Index!$L$15:$L$40)*Index!$E$8</f>
        <v>0</v>
      </c>
      <c r="O126" s="44">
        <f>SUMIF(Index!$M$15:$M$40,'perhitungan individu'!H126,Index!$N$15:$N$40)*Index!$E$9</f>
        <v>0</v>
      </c>
      <c r="P126" s="44">
        <f>SUMIF('Kinera Unit Kerja'!$B$4:$B$20,'perhitungan individu'!$G126,'Kinera Unit Kerja'!$G$4:$G$20)*Index!$E$10</f>
        <v>0</v>
      </c>
      <c r="Q126" s="44">
        <f>I126*Index!$E$11</f>
        <v>0</v>
      </c>
      <c r="R126" s="47">
        <f t="shared" si="3"/>
        <v>0</v>
      </c>
      <c r="S126" s="48">
        <f t="shared" si="2"/>
        <v>0</v>
      </c>
    </row>
    <row r="127" spans="1:19">
      <c r="A127" s="42"/>
      <c r="B127" s="33"/>
      <c r="C127" s="33"/>
      <c r="D127" s="43"/>
      <c r="E127" s="33"/>
      <c r="F127" s="33"/>
      <c r="G127" s="33"/>
      <c r="H127" s="33"/>
      <c r="I127" s="33"/>
      <c r="J127" s="44">
        <f>(D127/100000)*Index!$E$4</f>
        <v>0</v>
      </c>
      <c r="K127" s="44">
        <f>SUMIF(Index!$C$15:$C$40,'perhitungan individu'!E127,Index!$D$15:$D$40)*Index!$E$5</f>
        <v>0</v>
      </c>
      <c r="L127" s="44">
        <f>SUMIF(Index!$E$15:$E$40,'perhitungan individu'!F127,Index!F$15:F$40)*Index!$E$6</f>
        <v>0</v>
      </c>
      <c r="M127" s="44">
        <f>SUMIF(Index!$H$15:$H$40,'perhitungan individu'!$G127,Index!$I$15:$I$40)*Index!$E$7</f>
        <v>0</v>
      </c>
      <c r="N127" s="44">
        <f>SUMIF(Index!$K$15:$K$40,'perhitungan individu'!$G127,Index!$L$15:$L$40)*Index!$E$8</f>
        <v>0</v>
      </c>
      <c r="O127" s="44">
        <f>SUMIF(Index!$M$15:$M$40,'perhitungan individu'!H127,Index!$N$15:$N$40)*Index!$E$9</f>
        <v>0</v>
      </c>
      <c r="P127" s="44">
        <f>SUMIF('Kinera Unit Kerja'!$B$4:$B$20,'perhitungan individu'!$G127,'Kinera Unit Kerja'!$G$4:$G$20)*Index!$E$10</f>
        <v>0</v>
      </c>
      <c r="Q127" s="44">
        <f>I127*Index!$E$11</f>
        <v>0</v>
      </c>
      <c r="R127" s="47">
        <f t="shared" si="3"/>
        <v>0</v>
      </c>
      <c r="S127" s="48">
        <f t="shared" si="2"/>
        <v>0</v>
      </c>
    </row>
    <row r="128" spans="1:19">
      <c r="A128" s="42"/>
      <c r="B128" s="33"/>
      <c r="C128" s="33"/>
      <c r="D128" s="43"/>
      <c r="E128" s="33"/>
      <c r="F128" s="33"/>
      <c r="G128" s="33"/>
      <c r="H128" s="33"/>
      <c r="I128" s="33"/>
      <c r="J128" s="44">
        <f>(D128/100000)*Index!$E$4</f>
        <v>0</v>
      </c>
      <c r="K128" s="44">
        <f>SUMIF(Index!$C$15:$C$40,'perhitungan individu'!E128,Index!$D$15:$D$40)*Index!$E$5</f>
        <v>0</v>
      </c>
      <c r="L128" s="44">
        <f>SUMIF(Index!$E$15:$E$40,'perhitungan individu'!F128,Index!F$15:F$40)*Index!$E$6</f>
        <v>0</v>
      </c>
      <c r="M128" s="44">
        <f>SUMIF(Index!$H$15:$H$40,'perhitungan individu'!$G128,Index!$I$15:$I$40)*Index!$E$7</f>
        <v>0</v>
      </c>
      <c r="N128" s="44">
        <f>SUMIF(Index!$K$15:$K$40,'perhitungan individu'!$G128,Index!$L$15:$L$40)*Index!$E$8</f>
        <v>0</v>
      </c>
      <c r="O128" s="44">
        <f>SUMIF(Index!$M$15:$M$40,'perhitungan individu'!H128,Index!$N$15:$N$40)*Index!$E$9</f>
        <v>0</v>
      </c>
      <c r="P128" s="44">
        <f>SUMIF('Kinera Unit Kerja'!$B$4:$B$20,'perhitungan individu'!$G128,'Kinera Unit Kerja'!$G$4:$G$20)*Index!$E$10</f>
        <v>0</v>
      </c>
      <c r="Q128" s="44">
        <f>I128*Index!$E$11</f>
        <v>0</v>
      </c>
      <c r="R128" s="47">
        <f t="shared" si="3"/>
        <v>0</v>
      </c>
      <c r="S128" s="48">
        <f t="shared" si="2"/>
        <v>0</v>
      </c>
    </row>
    <row r="129" spans="1:19">
      <c r="A129" s="42"/>
      <c r="B129" s="33"/>
      <c r="C129" s="33"/>
      <c r="D129" s="43"/>
      <c r="E129" s="33"/>
      <c r="F129" s="33"/>
      <c r="G129" s="33"/>
      <c r="H129" s="33"/>
      <c r="I129" s="33"/>
      <c r="J129" s="44">
        <f>(D129/100000)*Index!$E$4</f>
        <v>0</v>
      </c>
      <c r="K129" s="44">
        <f>SUMIF(Index!$C$15:$C$40,'perhitungan individu'!E129,Index!$D$15:$D$40)*Index!$E$5</f>
        <v>0</v>
      </c>
      <c r="L129" s="44">
        <f>SUMIF(Index!$E$15:$E$40,'perhitungan individu'!F129,Index!F$15:F$40)*Index!$E$6</f>
        <v>0</v>
      </c>
      <c r="M129" s="44">
        <f>SUMIF(Index!$H$15:$H$40,'perhitungan individu'!$G129,Index!$I$15:$I$40)*Index!$E$7</f>
        <v>0</v>
      </c>
      <c r="N129" s="44">
        <f>SUMIF(Index!$K$15:$K$40,'perhitungan individu'!$G129,Index!$L$15:$L$40)*Index!$E$8</f>
        <v>0</v>
      </c>
      <c r="O129" s="44">
        <f>SUMIF(Index!$M$15:$M$40,'perhitungan individu'!H129,Index!$N$15:$N$40)*Index!$E$9</f>
        <v>0</v>
      </c>
      <c r="P129" s="44">
        <f>SUMIF('Kinera Unit Kerja'!$B$4:$B$20,'perhitungan individu'!$G129,'Kinera Unit Kerja'!$G$4:$G$20)*Index!$E$10</f>
        <v>0</v>
      </c>
      <c r="Q129" s="44">
        <f>I129*Index!$E$11</f>
        <v>0</v>
      </c>
      <c r="R129" s="47">
        <f t="shared" si="3"/>
        <v>0</v>
      </c>
      <c r="S129" s="48">
        <f t="shared" si="2"/>
        <v>0</v>
      </c>
    </row>
    <row r="130" spans="1:19">
      <c r="A130" s="42"/>
      <c r="B130" s="33"/>
      <c r="C130" s="33"/>
      <c r="D130" s="43"/>
      <c r="E130" s="33"/>
      <c r="F130" s="33"/>
      <c r="G130" s="33"/>
      <c r="H130" s="33"/>
      <c r="I130" s="33"/>
      <c r="J130" s="44">
        <f>(D130/100000)*Index!$E$4</f>
        <v>0</v>
      </c>
      <c r="K130" s="44">
        <f>SUMIF(Index!$C$15:$C$40,'perhitungan individu'!E130,Index!$D$15:$D$40)*Index!$E$5</f>
        <v>0</v>
      </c>
      <c r="L130" s="44">
        <f>SUMIF(Index!$E$15:$E$40,'perhitungan individu'!F130,Index!F$15:F$40)*Index!$E$6</f>
        <v>0</v>
      </c>
      <c r="M130" s="44">
        <f>SUMIF(Index!$H$15:$H$40,'perhitungan individu'!$G130,Index!$I$15:$I$40)*Index!$E$7</f>
        <v>0</v>
      </c>
      <c r="N130" s="44">
        <f>SUMIF(Index!$K$15:$K$40,'perhitungan individu'!$G130,Index!$L$15:$L$40)*Index!$E$8</f>
        <v>0</v>
      </c>
      <c r="O130" s="44">
        <f>SUMIF(Index!$M$15:$M$40,'perhitungan individu'!H130,Index!$N$15:$N$40)*Index!$E$9</f>
        <v>0</v>
      </c>
      <c r="P130" s="44">
        <f>SUMIF('Kinera Unit Kerja'!$B$4:$B$20,'perhitungan individu'!$G130,'Kinera Unit Kerja'!$G$4:$G$20)*Index!$E$10</f>
        <v>0</v>
      </c>
      <c r="Q130" s="44">
        <f>I130*Index!$E$11</f>
        <v>0</v>
      </c>
      <c r="R130" s="47">
        <f t="shared" si="3"/>
        <v>0</v>
      </c>
      <c r="S130" s="48">
        <f t="shared" si="2"/>
        <v>0</v>
      </c>
    </row>
    <row r="131" spans="1:19">
      <c r="A131" s="42"/>
      <c r="B131" s="33"/>
      <c r="C131" s="33"/>
      <c r="D131" s="43"/>
      <c r="E131" s="33"/>
      <c r="F131" s="33"/>
      <c r="G131" s="33"/>
      <c r="H131" s="33"/>
      <c r="I131" s="33"/>
      <c r="J131" s="44">
        <f>(D131/100000)*Index!$E$4</f>
        <v>0</v>
      </c>
      <c r="K131" s="44">
        <f>SUMIF(Index!$C$15:$C$40,'perhitungan individu'!E131,Index!$D$15:$D$40)*Index!$E$5</f>
        <v>0</v>
      </c>
      <c r="L131" s="44">
        <f>SUMIF(Index!$E$15:$E$40,'perhitungan individu'!F131,Index!F$15:F$40)*Index!$E$6</f>
        <v>0</v>
      </c>
      <c r="M131" s="44">
        <f>SUMIF(Index!$H$15:$H$40,'perhitungan individu'!$G131,Index!$I$15:$I$40)*Index!$E$7</f>
        <v>0</v>
      </c>
      <c r="N131" s="44">
        <f>SUMIF(Index!$K$15:$K$40,'perhitungan individu'!$G131,Index!$L$15:$L$40)*Index!$E$8</f>
        <v>0</v>
      </c>
      <c r="O131" s="44">
        <f>SUMIF(Index!$M$15:$M$40,'perhitungan individu'!H131,Index!$N$15:$N$40)*Index!$E$9</f>
        <v>0</v>
      </c>
      <c r="P131" s="44">
        <f>SUMIF('Kinera Unit Kerja'!$B$4:$B$20,'perhitungan individu'!$G131,'Kinera Unit Kerja'!$G$4:$G$20)*Index!$E$10</f>
        <v>0</v>
      </c>
      <c r="Q131" s="44">
        <f>I131*Index!$E$11</f>
        <v>0</v>
      </c>
      <c r="R131" s="47">
        <f t="shared" si="3"/>
        <v>0</v>
      </c>
      <c r="S131" s="48">
        <f t="shared" si="2"/>
        <v>0</v>
      </c>
    </row>
    <row r="132" spans="1:19">
      <c r="A132" s="42"/>
      <c r="B132" s="33"/>
      <c r="C132" s="33"/>
      <c r="D132" s="43"/>
      <c r="E132" s="33"/>
      <c r="F132" s="33"/>
      <c r="G132" s="33"/>
      <c r="H132" s="33"/>
      <c r="I132" s="33"/>
      <c r="J132" s="44">
        <f>(D132/100000)*Index!$E$4</f>
        <v>0</v>
      </c>
      <c r="K132" s="44">
        <f>SUMIF(Index!$C$15:$C$40,'perhitungan individu'!E132,Index!$D$15:$D$40)*Index!$E$5</f>
        <v>0</v>
      </c>
      <c r="L132" s="44">
        <f>SUMIF(Index!$E$15:$E$40,'perhitungan individu'!F132,Index!F$15:F$40)*Index!$E$6</f>
        <v>0</v>
      </c>
      <c r="M132" s="44">
        <f>SUMIF(Index!$H$15:$H$40,'perhitungan individu'!$G132,Index!$I$15:$I$40)*Index!$E$7</f>
        <v>0</v>
      </c>
      <c r="N132" s="44">
        <f>SUMIF(Index!$K$15:$K$40,'perhitungan individu'!$G132,Index!$L$15:$L$40)*Index!$E$8</f>
        <v>0</v>
      </c>
      <c r="O132" s="44">
        <f>SUMIF(Index!$M$15:$M$40,'perhitungan individu'!H132,Index!$N$15:$N$40)*Index!$E$9</f>
        <v>0</v>
      </c>
      <c r="P132" s="44">
        <f>SUMIF('Kinera Unit Kerja'!$B$4:$B$20,'perhitungan individu'!$G132,'Kinera Unit Kerja'!$G$4:$G$20)*Index!$E$10</f>
        <v>0</v>
      </c>
      <c r="Q132" s="44">
        <f>I132*Index!$E$11</f>
        <v>0</v>
      </c>
      <c r="R132" s="47">
        <f t="shared" si="3"/>
        <v>0</v>
      </c>
      <c r="S132" s="48">
        <f t="shared" si="2"/>
        <v>0</v>
      </c>
    </row>
    <row r="133" spans="1:19">
      <c r="A133" s="42"/>
      <c r="B133" s="33"/>
      <c r="C133" s="33"/>
      <c r="D133" s="43"/>
      <c r="E133" s="33"/>
      <c r="F133" s="33"/>
      <c r="G133" s="33"/>
      <c r="H133" s="33"/>
      <c r="I133" s="33"/>
      <c r="J133" s="44">
        <f>(D133/100000)*Index!$E$4</f>
        <v>0</v>
      </c>
      <c r="K133" s="44">
        <f>SUMIF(Index!$C$15:$C$40,'perhitungan individu'!E133,Index!$D$15:$D$40)*Index!$E$5</f>
        <v>0</v>
      </c>
      <c r="L133" s="44">
        <f>SUMIF(Index!$E$15:$E$40,'perhitungan individu'!F133,Index!F$15:F$40)*Index!$E$6</f>
        <v>0</v>
      </c>
      <c r="M133" s="44">
        <f>SUMIF(Index!$H$15:$H$40,'perhitungan individu'!$G133,Index!$I$15:$I$40)*Index!$E$7</f>
        <v>0</v>
      </c>
      <c r="N133" s="44">
        <f>SUMIF(Index!$K$15:$K$40,'perhitungan individu'!$G133,Index!$L$15:$L$40)*Index!$E$8</f>
        <v>0</v>
      </c>
      <c r="O133" s="44">
        <f>SUMIF(Index!$M$15:$M$40,'perhitungan individu'!H133,Index!$N$15:$N$40)*Index!$E$9</f>
        <v>0</v>
      </c>
      <c r="P133" s="44">
        <f>SUMIF('Kinera Unit Kerja'!$B$4:$B$20,'perhitungan individu'!$G133,'Kinera Unit Kerja'!$G$4:$G$20)*Index!$E$10</f>
        <v>0</v>
      </c>
      <c r="Q133" s="44">
        <f>I133*Index!$E$11</f>
        <v>0</v>
      </c>
      <c r="R133" s="47">
        <f t="shared" si="3"/>
        <v>0</v>
      </c>
      <c r="S133" s="48">
        <f t="shared" si="2"/>
        <v>0</v>
      </c>
    </row>
    <row r="134" spans="1:19">
      <c r="A134" s="42"/>
      <c r="B134" s="33"/>
      <c r="C134" s="33"/>
      <c r="D134" s="43"/>
      <c r="E134" s="33"/>
      <c r="F134" s="33"/>
      <c r="G134" s="33"/>
      <c r="H134" s="33"/>
      <c r="I134" s="33"/>
      <c r="J134" s="44">
        <f>(D134/100000)*Index!$E$4</f>
        <v>0</v>
      </c>
      <c r="K134" s="44">
        <f>SUMIF(Index!$C$15:$C$40,'perhitungan individu'!E134,Index!$D$15:$D$40)*Index!$E$5</f>
        <v>0</v>
      </c>
      <c r="L134" s="44">
        <f>SUMIF(Index!$E$15:$E$40,'perhitungan individu'!F134,Index!F$15:F$40)*Index!$E$6</f>
        <v>0</v>
      </c>
      <c r="M134" s="44">
        <f>SUMIF(Index!$H$15:$H$40,'perhitungan individu'!$G134,Index!$I$15:$I$40)*Index!$E$7</f>
        <v>0</v>
      </c>
      <c r="N134" s="44">
        <f>SUMIF(Index!$K$15:$K$40,'perhitungan individu'!$G134,Index!$L$15:$L$40)*Index!$E$8</f>
        <v>0</v>
      </c>
      <c r="O134" s="44">
        <f>SUMIF(Index!$M$15:$M$40,'perhitungan individu'!H134,Index!$N$15:$N$40)*Index!$E$9</f>
        <v>0</v>
      </c>
      <c r="P134" s="44">
        <f>SUMIF('Kinera Unit Kerja'!$B$4:$B$20,'perhitungan individu'!$G134,'Kinera Unit Kerja'!$G$4:$G$20)*Index!$E$10</f>
        <v>0</v>
      </c>
      <c r="Q134" s="44">
        <f>I134*Index!$E$11</f>
        <v>0</v>
      </c>
      <c r="R134" s="47">
        <f t="shared" si="3"/>
        <v>0</v>
      </c>
      <c r="S134" s="48">
        <f t="shared" si="2"/>
        <v>0</v>
      </c>
    </row>
    <row r="135" spans="1:19">
      <c r="A135" s="42"/>
      <c r="B135" s="33"/>
      <c r="C135" s="33"/>
      <c r="D135" s="43"/>
      <c r="E135" s="33"/>
      <c r="F135" s="33"/>
      <c r="G135" s="33"/>
      <c r="H135" s="33"/>
      <c r="I135" s="33"/>
      <c r="J135" s="44">
        <f>(D135/100000)*Index!$E$4</f>
        <v>0</v>
      </c>
      <c r="K135" s="44">
        <f>SUMIF(Index!$C$15:$C$40,'perhitungan individu'!E135,Index!$D$15:$D$40)*Index!$E$5</f>
        <v>0</v>
      </c>
      <c r="L135" s="44">
        <f>SUMIF(Index!$E$15:$E$40,'perhitungan individu'!F135,Index!F$15:F$40)*Index!$E$6</f>
        <v>0</v>
      </c>
      <c r="M135" s="44">
        <f>SUMIF(Index!$H$15:$H$40,'perhitungan individu'!$G135,Index!$I$15:$I$40)*Index!$E$7</f>
        <v>0</v>
      </c>
      <c r="N135" s="44">
        <f>SUMIF(Index!$K$15:$K$40,'perhitungan individu'!$G135,Index!$L$15:$L$40)*Index!$E$8</f>
        <v>0</v>
      </c>
      <c r="O135" s="44">
        <f>SUMIF(Index!$M$15:$M$40,'perhitungan individu'!H135,Index!$N$15:$N$40)*Index!$E$9</f>
        <v>0</v>
      </c>
      <c r="P135" s="44">
        <f>SUMIF('Kinera Unit Kerja'!$B$4:$B$20,'perhitungan individu'!$G135,'Kinera Unit Kerja'!$G$4:$G$20)*Index!$E$10</f>
        <v>0</v>
      </c>
      <c r="Q135" s="44">
        <f>I135*Index!$E$11</f>
        <v>0</v>
      </c>
      <c r="R135" s="47">
        <f t="shared" si="3"/>
        <v>0</v>
      </c>
      <c r="S135" s="48">
        <f t="shared" si="2"/>
        <v>0</v>
      </c>
    </row>
    <row r="136" spans="1:19">
      <c r="A136" s="42"/>
      <c r="B136" s="33"/>
      <c r="C136" s="33"/>
      <c r="D136" s="43"/>
      <c r="E136" s="33"/>
      <c r="F136" s="33"/>
      <c r="G136" s="33"/>
      <c r="H136" s="33"/>
      <c r="I136" s="33"/>
      <c r="J136" s="44">
        <f>(D136/100000)*Index!$E$4</f>
        <v>0</v>
      </c>
      <c r="K136" s="44">
        <f>SUMIF(Index!$C$15:$C$40,'perhitungan individu'!E136,Index!$D$15:$D$40)*Index!$E$5</f>
        <v>0</v>
      </c>
      <c r="L136" s="44">
        <f>SUMIF(Index!$E$15:$E$40,'perhitungan individu'!F136,Index!F$15:F$40)*Index!$E$6</f>
        <v>0</v>
      </c>
      <c r="M136" s="44">
        <f>SUMIF(Index!$H$15:$H$40,'perhitungan individu'!$G136,Index!$I$15:$I$40)*Index!$E$7</f>
        <v>0</v>
      </c>
      <c r="N136" s="44">
        <f>SUMIF(Index!$K$15:$K$40,'perhitungan individu'!$G136,Index!$L$15:$L$40)*Index!$E$8</f>
        <v>0</v>
      </c>
      <c r="O136" s="44">
        <f>SUMIF(Index!$M$15:$M$40,'perhitungan individu'!H136,Index!$N$15:$N$40)*Index!$E$9</f>
        <v>0</v>
      </c>
      <c r="P136" s="44">
        <f>SUMIF('Kinera Unit Kerja'!$B$4:$B$20,'perhitungan individu'!$G136,'Kinera Unit Kerja'!$G$4:$G$20)*Index!$E$10</f>
        <v>0</v>
      </c>
      <c r="Q136" s="44">
        <f>I136*Index!$E$11</f>
        <v>0</v>
      </c>
      <c r="R136" s="47">
        <f t="shared" si="3"/>
        <v>0</v>
      </c>
      <c r="S136" s="48">
        <f t="shared" si="2"/>
        <v>0</v>
      </c>
    </row>
    <row r="137" spans="1:19">
      <c r="A137" s="42"/>
      <c r="B137" s="33"/>
      <c r="C137" s="33"/>
      <c r="D137" s="43"/>
      <c r="E137" s="33"/>
      <c r="F137" s="33"/>
      <c r="G137" s="33"/>
      <c r="H137" s="33"/>
      <c r="I137" s="33"/>
      <c r="J137" s="44">
        <f>(D137/100000)*Index!$E$4</f>
        <v>0</v>
      </c>
      <c r="K137" s="44">
        <f>SUMIF(Index!$C$15:$C$40,'perhitungan individu'!E137,Index!$D$15:$D$40)*Index!$E$5</f>
        <v>0</v>
      </c>
      <c r="L137" s="44">
        <f>SUMIF(Index!$E$15:$E$40,'perhitungan individu'!F137,Index!F$15:F$40)*Index!$E$6</f>
        <v>0</v>
      </c>
      <c r="M137" s="44">
        <f>SUMIF(Index!$H$15:$H$40,'perhitungan individu'!$G137,Index!$I$15:$I$40)*Index!$E$7</f>
        <v>0</v>
      </c>
      <c r="N137" s="44">
        <f>SUMIF(Index!$K$15:$K$40,'perhitungan individu'!$G137,Index!$L$15:$L$40)*Index!$E$8</f>
        <v>0</v>
      </c>
      <c r="O137" s="44">
        <f>SUMIF(Index!$M$15:$M$40,'perhitungan individu'!H137,Index!$N$15:$N$40)*Index!$E$9</f>
        <v>0</v>
      </c>
      <c r="P137" s="44">
        <f>SUMIF('Kinera Unit Kerja'!$B$4:$B$20,'perhitungan individu'!$G137,'Kinera Unit Kerja'!$G$4:$G$20)*Index!$E$10</f>
        <v>0</v>
      </c>
      <c r="Q137" s="44">
        <f>I137*Index!$E$11</f>
        <v>0</v>
      </c>
      <c r="R137" s="47">
        <f t="shared" si="3"/>
        <v>0</v>
      </c>
      <c r="S137" s="48">
        <f t="shared" si="2"/>
        <v>0</v>
      </c>
    </row>
    <row r="138" spans="1:19">
      <c r="A138" s="42"/>
      <c r="B138" s="33"/>
      <c r="C138" s="33"/>
      <c r="D138" s="43"/>
      <c r="E138" s="33"/>
      <c r="F138" s="33"/>
      <c r="G138" s="33"/>
      <c r="H138" s="33"/>
      <c r="I138" s="33"/>
      <c r="J138" s="44">
        <f>(D138/100000)*Index!$E$4</f>
        <v>0</v>
      </c>
      <c r="K138" s="44">
        <f>SUMIF(Index!$C$15:$C$40,'perhitungan individu'!E138,Index!$D$15:$D$40)*Index!$E$5</f>
        <v>0</v>
      </c>
      <c r="L138" s="44">
        <f>SUMIF(Index!$E$15:$E$40,'perhitungan individu'!F138,Index!F$15:F$40)*Index!$E$6</f>
        <v>0</v>
      </c>
      <c r="M138" s="44">
        <f>SUMIF(Index!$H$15:$H$40,'perhitungan individu'!$G138,Index!$I$15:$I$40)*Index!$E$7</f>
        <v>0</v>
      </c>
      <c r="N138" s="44">
        <f>SUMIF(Index!$K$15:$K$40,'perhitungan individu'!$G138,Index!$L$15:$L$40)*Index!$E$8</f>
        <v>0</v>
      </c>
      <c r="O138" s="44">
        <f>SUMIF(Index!$M$15:$M$40,'perhitungan individu'!H138,Index!$N$15:$N$40)*Index!$E$9</f>
        <v>0</v>
      </c>
      <c r="P138" s="44">
        <f>SUMIF('Kinera Unit Kerja'!$B$4:$B$20,'perhitungan individu'!$G138,'Kinera Unit Kerja'!$G$4:$G$20)*Index!$E$10</f>
        <v>0</v>
      </c>
      <c r="Q138" s="44">
        <f>I138*Index!$E$11</f>
        <v>0</v>
      </c>
      <c r="R138" s="47">
        <f t="shared" si="3"/>
        <v>0</v>
      </c>
      <c r="S138" s="48">
        <f t="shared" si="2"/>
        <v>0</v>
      </c>
    </row>
    <row r="139" spans="1:19">
      <c r="A139" s="42"/>
      <c r="B139" s="33"/>
      <c r="C139" s="33"/>
      <c r="D139" s="43"/>
      <c r="E139" s="33"/>
      <c r="F139" s="33"/>
      <c r="G139" s="33"/>
      <c r="H139" s="33"/>
      <c r="I139" s="33"/>
      <c r="J139" s="44">
        <f>(D139/100000)*Index!$E$4</f>
        <v>0</v>
      </c>
      <c r="K139" s="44">
        <f>SUMIF(Index!$C$15:$C$40,'perhitungan individu'!E139,Index!$D$15:$D$40)*Index!$E$5</f>
        <v>0</v>
      </c>
      <c r="L139" s="44">
        <f>SUMIF(Index!$E$15:$E$40,'perhitungan individu'!F139,Index!F$15:F$40)*Index!$E$6</f>
        <v>0</v>
      </c>
      <c r="M139" s="44">
        <f>SUMIF(Index!$H$15:$H$40,'perhitungan individu'!$G139,Index!$I$15:$I$40)*Index!$E$7</f>
        <v>0</v>
      </c>
      <c r="N139" s="44">
        <f>SUMIF(Index!$K$15:$K$40,'perhitungan individu'!$G139,Index!$L$15:$L$40)*Index!$E$8</f>
        <v>0</v>
      </c>
      <c r="O139" s="44">
        <f>SUMIF(Index!$M$15:$M$40,'perhitungan individu'!H139,Index!$N$15:$N$40)*Index!$E$9</f>
        <v>0</v>
      </c>
      <c r="P139" s="44">
        <f>SUMIF('Kinera Unit Kerja'!$B$4:$B$20,'perhitungan individu'!$G139,'Kinera Unit Kerja'!$G$4:$G$20)*Index!$E$10</f>
        <v>0</v>
      </c>
      <c r="Q139" s="44">
        <f>I139*Index!$E$11</f>
        <v>0</v>
      </c>
      <c r="R139" s="47">
        <f t="shared" si="3"/>
        <v>0</v>
      </c>
      <c r="S139" s="48">
        <f t="shared" si="2"/>
        <v>0</v>
      </c>
    </row>
    <row r="140" spans="1:19">
      <c r="A140" s="42"/>
      <c r="B140" s="33"/>
      <c r="C140" s="33"/>
      <c r="D140" s="43"/>
      <c r="E140" s="33"/>
      <c r="F140" s="33"/>
      <c r="G140" s="33"/>
      <c r="H140" s="33"/>
      <c r="I140" s="33"/>
      <c r="J140" s="44">
        <f>(D140/100000)*Index!$E$4</f>
        <v>0</v>
      </c>
      <c r="K140" s="44">
        <f>SUMIF(Index!$C$15:$C$40,'perhitungan individu'!E140,Index!$D$15:$D$40)*Index!$E$5</f>
        <v>0</v>
      </c>
      <c r="L140" s="44">
        <f>SUMIF(Index!$E$15:$E$40,'perhitungan individu'!F140,Index!F$15:F$40)*Index!$E$6</f>
        <v>0</v>
      </c>
      <c r="M140" s="44">
        <f>SUMIF(Index!$H$15:$H$40,'perhitungan individu'!$G140,Index!$I$15:$I$40)*Index!$E$7</f>
        <v>0</v>
      </c>
      <c r="N140" s="44">
        <f>SUMIF(Index!$K$15:$K$40,'perhitungan individu'!$G140,Index!$L$15:$L$40)*Index!$E$8</f>
        <v>0</v>
      </c>
      <c r="O140" s="44">
        <f>SUMIF(Index!$M$15:$M$40,'perhitungan individu'!H140,Index!$N$15:$N$40)*Index!$E$9</f>
        <v>0</v>
      </c>
      <c r="P140" s="44">
        <f>SUMIF('Kinera Unit Kerja'!$B$4:$B$20,'perhitungan individu'!$G140,'Kinera Unit Kerja'!$G$4:$G$20)*Index!$E$10</f>
        <v>0</v>
      </c>
      <c r="Q140" s="44">
        <f>I140*Index!$E$11</f>
        <v>0</v>
      </c>
      <c r="R140" s="47">
        <f t="shared" si="3"/>
        <v>0</v>
      </c>
      <c r="S140" s="48">
        <f t="shared" si="2"/>
        <v>0</v>
      </c>
    </row>
    <row r="141" spans="1:19">
      <c r="A141" s="42"/>
      <c r="B141" s="33"/>
      <c r="C141" s="33"/>
      <c r="D141" s="43"/>
      <c r="E141" s="33"/>
      <c r="F141" s="33"/>
      <c r="G141" s="33"/>
      <c r="H141" s="33"/>
      <c r="I141" s="33"/>
      <c r="J141" s="44">
        <f>(D141/100000)*Index!$E$4</f>
        <v>0</v>
      </c>
      <c r="K141" s="44">
        <f>SUMIF(Index!$C$15:$C$40,'perhitungan individu'!E141,Index!$D$15:$D$40)*Index!$E$5</f>
        <v>0</v>
      </c>
      <c r="L141" s="44">
        <f>SUMIF(Index!$E$15:$E$40,'perhitungan individu'!F141,Index!F$15:F$40)*Index!$E$6</f>
        <v>0</v>
      </c>
      <c r="M141" s="44">
        <f>SUMIF(Index!$H$15:$H$40,'perhitungan individu'!$G141,Index!$I$15:$I$40)*Index!$E$7</f>
        <v>0</v>
      </c>
      <c r="N141" s="44">
        <f>SUMIF(Index!$K$15:$K$40,'perhitungan individu'!$G141,Index!$L$15:$L$40)*Index!$E$8</f>
        <v>0</v>
      </c>
      <c r="O141" s="44">
        <f>SUMIF(Index!$M$15:$M$40,'perhitungan individu'!H141,Index!$N$15:$N$40)*Index!$E$9</f>
        <v>0</v>
      </c>
      <c r="P141" s="44">
        <f>SUMIF('Kinera Unit Kerja'!$B$4:$B$20,'perhitungan individu'!$G141,'Kinera Unit Kerja'!$G$4:$G$20)*Index!$E$10</f>
        <v>0</v>
      </c>
      <c r="Q141" s="44">
        <f>I141*Index!$E$11</f>
        <v>0</v>
      </c>
      <c r="R141" s="47">
        <f t="shared" si="3"/>
        <v>0</v>
      </c>
      <c r="S141" s="48">
        <f t="shared" si="2"/>
        <v>0</v>
      </c>
    </row>
    <row r="142" spans="1:19">
      <c r="A142" s="42"/>
      <c r="B142" s="33"/>
      <c r="C142" s="33"/>
      <c r="D142" s="43"/>
      <c r="E142" s="33"/>
      <c r="F142" s="33"/>
      <c r="G142" s="33"/>
      <c r="H142" s="33"/>
      <c r="I142" s="33"/>
      <c r="J142" s="44">
        <f>(D142/100000)*Index!$E$4</f>
        <v>0</v>
      </c>
      <c r="K142" s="44">
        <f>SUMIF(Index!$C$15:$C$40,'perhitungan individu'!E142,Index!$D$15:$D$40)*Index!$E$5</f>
        <v>0</v>
      </c>
      <c r="L142" s="44">
        <f>SUMIF(Index!$E$15:$E$40,'perhitungan individu'!F142,Index!F$15:F$40)*Index!$E$6</f>
        <v>0</v>
      </c>
      <c r="M142" s="44">
        <f>SUMIF(Index!$H$15:$H$40,'perhitungan individu'!$G142,Index!$I$15:$I$40)*Index!$E$7</f>
        <v>0</v>
      </c>
      <c r="N142" s="44">
        <f>SUMIF(Index!$K$15:$K$40,'perhitungan individu'!$G142,Index!$L$15:$L$40)*Index!$E$8</f>
        <v>0</v>
      </c>
      <c r="O142" s="44">
        <f>SUMIF(Index!$M$15:$M$40,'perhitungan individu'!H142,Index!$N$15:$N$40)*Index!$E$9</f>
        <v>0</v>
      </c>
      <c r="P142" s="44">
        <f>SUMIF('Kinera Unit Kerja'!$B$4:$B$20,'perhitungan individu'!$G142,'Kinera Unit Kerja'!$G$4:$G$20)*Index!$E$10</f>
        <v>0</v>
      </c>
      <c r="Q142" s="44">
        <f>I142*Index!$E$11</f>
        <v>0</v>
      </c>
      <c r="R142" s="47">
        <f t="shared" si="3"/>
        <v>0</v>
      </c>
      <c r="S142" s="48">
        <f t="shared" si="2"/>
        <v>0</v>
      </c>
    </row>
    <row r="143" spans="1:19">
      <c r="A143" s="42"/>
      <c r="B143" s="33"/>
      <c r="C143" s="33"/>
      <c r="D143" s="43"/>
      <c r="E143" s="33"/>
      <c r="F143" s="33"/>
      <c r="G143" s="33"/>
      <c r="H143" s="33"/>
      <c r="I143" s="33"/>
      <c r="J143" s="44">
        <f>(D143/100000)*Index!$E$4</f>
        <v>0</v>
      </c>
      <c r="K143" s="44">
        <f>SUMIF(Index!$C$15:$C$40,'perhitungan individu'!E143,Index!$D$15:$D$40)*Index!$E$5</f>
        <v>0</v>
      </c>
      <c r="L143" s="44">
        <f>SUMIF(Index!$E$15:$E$40,'perhitungan individu'!F143,Index!F$15:F$40)*Index!$E$6</f>
        <v>0</v>
      </c>
      <c r="M143" s="44">
        <f>SUMIF(Index!$H$15:$H$40,'perhitungan individu'!$G143,Index!$I$15:$I$40)*Index!$E$7</f>
        <v>0</v>
      </c>
      <c r="N143" s="44">
        <f>SUMIF(Index!$K$15:$K$40,'perhitungan individu'!$G143,Index!$L$15:$L$40)*Index!$E$8</f>
        <v>0</v>
      </c>
      <c r="O143" s="44">
        <f>SUMIF(Index!$M$15:$M$40,'perhitungan individu'!H143,Index!$N$15:$N$40)*Index!$E$9</f>
        <v>0</v>
      </c>
      <c r="P143" s="44">
        <f>SUMIF('Kinera Unit Kerja'!$B$4:$B$20,'perhitungan individu'!$G143,'Kinera Unit Kerja'!$G$4:$G$20)*Index!$E$10</f>
        <v>0</v>
      </c>
      <c r="Q143" s="44">
        <f>I143*Index!$E$11</f>
        <v>0</v>
      </c>
      <c r="R143" s="47">
        <f t="shared" si="3"/>
        <v>0</v>
      </c>
      <c r="S143" s="48">
        <f t="shared" si="2"/>
        <v>0</v>
      </c>
    </row>
    <row r="144" spans="1:19">
      <c r="A144" s="42"/>
      <c r="B144" s="33"/>
      <c r="C144" s="33"/>
      <c r="D144" s="43"/>
      <c r="E144" s="33"/>
      <c r="F144" s="33"/>
      <c r="G144" s="33"/>
      <c r="H144" s="33"/>
      <c r="I144" s="33"/>
      <c r="J144" s="44">
        <f>(D144/100000)*Index!$E$4</f>
        <v>0</v>
      </c>
      <c r="K144" s="44">
        <f>SUMIF(Index!$C$15:$C$40,'perhitungan individu'!E144,Index!$D$15:$D$40)*Index!$E$5</f>
        <v>0</v>
      </c>
      <c r="L144" s="44">
        <f>SUMIF(Index!$E$15:$E$40,'perhitungan individu'!F144,Index!F$15:F$40)*Index!$E$6</f>
        <v>0</v>
      </c>
      <c r="M144" s="44">
        <f>SUMIF(Index!$H$15:$H$40,'perhitungan individu'!$G144,Index!$I$15:$I$40)*Index!$E$7</f>
        <v>0</v>
      </c>
      <c r="N144" s="44">
        <f>SUMIF(Index!$K$15:$K$40,'perhitungan individu'!$G144,Index!$L$15:$L$40)*Index!$E$8</f>
        <v>0</v>
      </c>
      <c r="O144" s="44">
        <f>SUMIF(Index!$M$15:$M$40,'perhitungan individu'!H144,Index!$N$15:$N$40)*Index!$E$9</f>
        <v>0</v>
      </c>
      <c r="P144" s="44">
        <f>SUMIF('Kinera Unit Kerja'!$B$4:$B$20,'perhitungan individu'!$G144,'Kinera Unit Kerja'!$G$4:$G$20)*Index!$E$10</f>
        <v>0</v>
      </c>
      <c r="Q144" s="44">
        <f>I144*Index!$E$11</f>
        <v>0</v>
      </c>
      <c r="R144" s="47">
        <f t="shared" si="3"/>
        <v>0</v>
      </c>
      <c r="S144" s="48">
        <f t="shared" si="2"/>
        <v>0</v>
      </c>
    </row>
    <row r="145" spans="1:19">
      <c r="A145" s="42"/>
      <c r="B145" s="33"/>
      <c r="C145" s="33"/>
      <c r="D145" s="43"/>
      <c r="E145" s="33"/>
      <c r="F145" s="33"/>
      <c r="G145" s="33"/>
      <c r="H145" s="33"/>
      <c r="I145" s="33"/>
      <c r="J145" s="44">
        <f>(D145/100000)*Index!$E$4</f>
        <v>0</v>
      </c>
      <c r="K145" s="44">
        <f>SUMIF(Index!$C$15:$C$40,'perhitungan individu'!E145,Index!$D$15:$D$40)*Index!$E$5</f>
        <v>0</v>
      </c>
      <c r="L145" s="44">
        <f>SUMIF(Index!$E$15:$E$40,'perhitungan individu'!F145,Index!F$15:F$40)*Index!$E$6</f>
        <v>0</v>
      </c>
      <c r="M145" s="44">
        <f>SUMIF(Index!$H$15:$H$40,'perhitungan individu'!$G145,Index!$I$15:$I$40)*Index!$E$7</f>
        <v>0</v>
      </c>
      <c r="N145" s="44">
        <f>SUMIF(Index!$K$15:$K$40,'perhitungan individu'!$G145,Index!$L$15:$L$40)*Index!$E$8</f>
        <v>0</v>
      </c>
      <c r="O145" s="44">
        <f>SUMIF(Index!$M$15:$M$40,'perhitungan individu'!H145,Index!$N$15:$N$40)*Index!$E$9</f>
        <v>0</v>
      </c>
      <c r="P145" s="44">
        <f>SUMIF('Kinera Unit Kerja'!$B$4:$B$20,'perhitungan individu'!$G145,'Kinera Unit Kerja'!$G$4:$G$20)*Index!$E$10</f>
        <v>0</v>
      </c>
      <c r="Q145" s="44">
        <f>I145*Index!$E$11</f>
        <v>0</v>
      </c>
      <c r="R145" s="47">
        <f t="shared" si="3"/>
        <v>0</v>
      </c>
      <c r="S145" s="48">
        <f t="shared" si="2"/>
        <v>0</v>
      </c>
    </row>
    <row r="146" spans="1:19">
      <c r="A146" s="42"/>
      <c r="B146" s="33"/>
      <c r="C146" s="33"/>
      <c r="D146" s="43"/>
      <c r="E146" s="33"/>
      <c r="F146" s="33"/>
      <c r="G146" s="33"/>
      <c r="H146" s="33"/>
      <c r="I146" s="33"/>
      <c r="J146" s="44">
        <f>(D146/100000)*Index!$E$4</f>
        <v>0</v>
      </c>
      <c r="K146" s="44">
        <f>SUMIF(Index!$C$15:$C$40,'perhitungan individu'!E146,Index!$D$15:$D$40)*Index!$E$5</f>
        <v>0</v>
      </c>
      <c r="L146" s="44">
        <f>SUMIF(Index!$E$15:$E$40,'perhitungan individu'!F146,Index!F$15:F$40)*Index!$E$6</f>
        <v>0</v>
      </c>
      <c r="M146" s="44">
        <f>SUMIF(Index!$H$15:$H$40,'perhitungan individu'!$G146,Index!$I$15:$I$40)*Index!$E$7</f>
        <v>0</v>
      </c>
      <c r="N146" s="44">
        <f>SUMIF(Index!$K$15:$K$40,'perhitungan individu'!$G146,Index!$L$15:$L$40)*Index!$E$8</f>
        <v>0</v>
      </c>
      <c r="O146" s="44">
        <f>SUMIF(Index!$M$15:$M$40,'perhitungan individu'!H146,Index!$N$15:$N$40)*Index!$E$9</f>
        <v>0</v>
      </c>
      <c r="P146" s="44">
        <f>SUMIF('Kinera Unit Kerja'!$B$4:$B$20,'perhitungan individu'!$G146,'Kinera Unit Kerja'!$G$4:$G$20)*Index!$E$10</f>
        <v>0</v>
      </c>
      <c r="Q146" s="44">
        <f>I146*Index!$E$11</f>
        <v>0</v>
      </c>
      <c r="R146" s="47">
        <f t="shared" si="3"/>
        <v>0</v>
      </c>
      <c r="S146" s="48">
        <f t="shared" si="2"/>
        <v>0</v>
      </c>
    </row>
    <row r="147" spans="1:19">
      <c r="A147" s="42"/>
      <c r="B147" s="33"/>
      <c r="C147" s="33"/>
      <c r="D147" s="43"/>
      <c r="E147" s="33"/>
      <c r="F147" s="33"/>
      <c r="G147" s="33"/>
      <c r="H147" s="33"/>
      <c r="I147" s="33"/>
      <c r="J147" s="44">
        <f>(D147/100000)*Index!$E$4</f>
        <v>0</v>
      </c>
      <c r="K147" s="44">
        <f>SUMIF(Index!$C$15:$C$40,'perhitungan individu'!E147,Index!$D$15:$D$40)*Index!$E$5</f>
        <v>0</v>
      </c>
      <c r="L147" s="44">
        <f>SUMIF(Index!$E$15:$E$40,'perhitungan individu'!F147,Index!F$15:F$40)*Index!$E$6</f>
        <v>0</v>
      </c>
      <c r="M147" s="44">
        <f>SUMIF(Index!$H$15:$H$40,'perhitungan individu'!$G147,Index!$I$15:$I$40)*Index!$E$7</f>
        <v>0</v>
      </c>
      <c r="N147" s="44">
        <f>SUMIF(Index!$K$15:$K$40,'perhitungan individu'!$G147,Index!$L$15:$L$40)*Index!$E$8</f>
        <v>0</v>
      </c>
      <c r="O147" s="44">
        <f>SUMIF(Index!$M$15:$M$40,'perhitungan individu'!H147,Index!$N$15:$N$40)*Index!$E$9</f>
        <v>0</v>
      </c>
      <c r="P147" s="44">
        <f>SUMIF('Kinera Unit Kerja'!$B$4:$B$20,'perhitungan individu'!$G147,'Kinera Unit Kerja'!$G$4:$G$20)*Index!$E$10</f>
        <v>0</v>
      </c>
      <c r="Q147" s="44">
        <f>I147*Index!$E$11</f>
        <v>0</v>
      </c>
      <c r="R147" s="47">
        <f t="shared" si="3"/>
        <v>0</v>
      </c>
      <c r="S147" s="48">
        <f t="shared" si="2"/>
        <v>0</v>
      </c>
    </row>
    <row r="148" spans="1:19">
      <c r="A148" s="42"/>
      <c r="B148" s="33"/>
      <c r="C148" s="33"/>
      <c r="D148" s="43"/>
      <c r="E148" s="33"/>
      <c r="F148" s="33"/>
      <c r="G148" s="33"/>
      <c r="H148" s="33"/>
      <c r="I148" s="33"/>
      <c r="J148" s="44">
        <f>(D148/100000)*Index!$E$4</f>
        <v>0</v>
      </c>
      <c r="K148" s="44">
        <f>SUMIF(Index!$C$15:$C$40,'perhitungan individu'!E148,Index!$D$15:$D$40)*Index!$E$5</f>
        <v>0</v>
      </c>
      <c r="L148" s="44">
        <f>SUMIF(Index!$E$15:$E$40,'perhitungan individu'!F148,Index!F$15:F$40)*Index!$E$6</f>
        <v>0</v>
      </c>
      <c r="M148" s="44">
        <f>SUMIF(Index!$H$15:$H$40,'perhitungan individu'!$G148,Index!$I$15:$I$40)*Index!$E$7</f>
        <v>0</v>
      </c>
      <c r="N148" s="44">
        <f>SUMIF(Index!$K$15:$K$40,'perhitungan individu'!$G148,Index!$L$15:$L$40)*Index!$E$8</f>
        <v>0</v>
      </c>
      <c r="O148" s="44">
        <f>SUMIF(Index!$M$15:$M$40,'perhitungan individu'!H148,Index!$N$15:$N$40)*Index!$E$9</f>
        <v>0</v>
      </c>
      <c r="P148" s="44">
        <f>SUMIF('Kinera Unit Kerja'!$B$4:$B$20,'perhitungan individu'!$G148,'Kinera Unit Kerja'!$G$4:$G$20)*Index!$E$10</f>
        <v>0</v>
      </c>
      <c r="Q148" s="44">
        <f>I148*Index!$E$11</f>
        <v>0</v>
      </c>
      <c r="R148" s="47">
        <f t="shared" si="3"/>
        <v>0</v>
      </c>
      <c r="S148" s="48">
        <f t="shared" si="2"/>
        <v>0</v>
      </c>
    </row>
    <row r="149" spans="1:19">
      <c r="A149" s="42"/>
      <c r="B149" s="33"/>
      <c r="C149" s="33"/>
      <c r="D149" s="43"/>
      <c r="E149" s="33"/>
      <c r="F149" s="33"/>
      <c r="G149" s="33"/>
      <c r="H149" s="33"/>
      <c r="I149" s="33"/>
      <c r="J149" s="44">
        <f>(D149/100000)*Index!$E$4</f>
        <v>0</v>
      </c>
      <c r="K149" s="44">
        <f>SUMIF(Index!$C$15:$C$40,'perhitungan individu'!E149,Index!$D$15:$D$40)*Index!$E$5</f>
        <v>0</v>
      </c>
      <c r="L149" s="44">
        <f>SUMIF(Index!$E$15:$E$40,'perhitungan individu'!F149,Index!F$15:F$40)*Index!$E$6</f>
        <v>0</v>
      </c>
      <c r="M149" s="44">
        <f>SUMIF(Index!$H$15:$H$40,'perhitungan individu'!$G149,Index!$I$15:$I$40)*Index!$E$7</f>
        <v>0</v>
      </c>
      <c r="N149" s="44">
        <f>SUMIF(Index!$K$15:$K$40,'perhitungan individu'!$G149,Index!$L$15:$L$40)*Index!$E$8</f>
        <v>0</v>
      </c>
      <c r="O149" s="44">
        <f>SUMIF(Index!$M$15:$M$40,'perhitungan individu'!H149,Index!$N$15:$N$40)*Index!$E$9</f>
        <v>0</v>
      </c>
      <c r="P149" s="44">
        <f>SUMIF('Kinera Unit Kerja'!$B$4:$B$20,'perhitungan individu'!$G149,'Kinera Unit Kerja'!$G$4:$G$20)*Index!$E$10</f>
        <v>0</v>
      </c>
      <c r="Q149" s="44">
        <f>I149*Index!$E$11</f>
        <v>0</v>
      </c>
      <c r="R149" s="47">
        <f t="shared" si="3"/>
        <v>0</v>
      </c>
      <c r="S149" s="48">
        <f t="shared" si="2"/>
        <v>0</v>
      </c>
    </row>
    <row r="150" spans="1:19">
      <c r="A150" s="42"/>
      <c r="B150" s="33"/>
      <c r="C150" s="33"/>
      <c r="D150" s="43"/>
      <c r="E150" s="33"/>
      <c r="F150" s="33"/>
      <c r="G150" s="33"/>
      <c r="H150" s="33"/>
      <c r="I150" s="33"/>
      <c r="J150" s="44">
        <f>(D150/100000)*Index!$E$4</f>
        <v>0</v>
      </c>
      <c r="K150" s="44">
        <f>SUMIF(Index!$C$15:$C$40,'perhitungan individu'!E150,Index!$D$15:$D$40)*Index!$E$5</f>
        <v>0</v>
      </c>
      <c r="L150" s="44">
        <f>SUMIF(Index!$E$15:$E$40,'perhitungan individu'!F150,Index!F$15:F$40)*Index!$E$6</f>
        <v>0</v>
      </c>
      <c r="M150" s="44">
        <f>SUMIF(Index!$H$15:$H$40,'perhitungan individu'!$G150,Index!$I$15:$I$40)*Index!$E$7</f>
        <v>0</v>
      </c>
      <c r="N150" s="44">
        <f>SUMIF(Index!$K$15:$K$40,'perhitungan individu'!$G150,Index!$L$15:$L$40)*Index!$E$8</f>
        <v>0</v>
      </c>
      <c r="O150" s="44">
        <f>SUMIF(Index!$M$15:$M$40,'perhitungan individu'!H150,Index!$N$15:$N$40)*Index!$E$9</f>
        <v>0</v>
      </c>
      <c r="P150" s="44">
        <f>SUMIF('Kinera Unit Kerja'!$B$4:$B$20,'perhitungan individu'!$G150,'Kinera Unit Kerja'!$G$4:$G$20)*Index!$E$10</f>
        <v>0</v>
      </c>
      <c r="Q150" s="44">
        <f>I150*Index!$E$11</f>
        <v>0</v>
      </c>
      <c r="R150" s="47">
        <f t="shared" si="3"/>
        <v>0</v>
      </c>
      <c r="S150" s="48">
        <f t="shared" si="2"/>
        <v>0</v>
      </c>
    </row>
    <row r="151" spans="1:19">
      <c r="A151" s="42"/>
      <c r="B151" s="33"/>
      <c r="C151" s="33"/>
      <c r="D151" s="43"/>
      <c r="E151" s="33"/>
      <c r="F151" s="33"/>
      <c r="G151" s="33"/>
      <c r="H151" s="33"/>
      <c r="I151" s="33"/>
      <c r="J151" s="44">
        <f>(D151/100000)*Index!$E$4</f>
        <v>0</v>
      </c>
      <c r="K151" s="44">
        <f>SUMIF(Index!$C$15:$C$40,'perhitungan individu'!E151,Index!$D$15:$D$40)*Index!$E$5</f>
        <v>0</v>
      </c>
      <c r="L151" s="44">
        <f>SUMIF(Index!$E$15:$E$40,'perhitungan individu'!F151,Index!F$15:F$40)*Index!$E$6</f>
        <v>0</v>
      </c>
      <c r="M151" s="44">
        <f>SUMIF(Index!$H$15:$H$40,'perhitungan individu'!$G151,Index!$I$15:$I$40)*Index!$E$7</f>
        <v>0</v>
      </c>
      <c r="N151" s="44">
        <f>SUMIF(Index!$K$15:$K$40,'perhitungan individu'!$G151,Index!$L$15:$L$40)*Index!$E$8</f>
        <v>0</v>
      </c>
      <c r="O151" s="44">
        <f>SUMIF(Index!$M$15:$M$40,'perhitungan individu'!H151,Index!$N$15:$N$40)*Index!$E$9</f>
        <v>0</v>
      </c>
      <c r="P151" s="44">
        <f>SUMIF('Kinera Unit Kerja'!$B$4:$B$20,'perhitungan individu'!$G151,'Kinera Unit Kerja'!$G$4:$G$20)*Index!$E$10</f>
        <v>0</v>
      </c>
      <c r="Q151" s="44">
        <f>I151*Index!$E$11</f>
        <v>0</v>
      </c>
      <c r="R151" s="47">
        <f t="shared" si="3"/>
        <v>0</v>
      </c>
      <c r="S151" s="48">
        <f t="shared" si="2"/>
        <v>0</v>
      </c>
    </row>
    <row r="152" spans="1:19">
      <c r="A152" s="42"/>
      <c r="B152" s="33"/>
      <c r="C152" s="33"/>
      <c r="D152" s="43"/>
      <c r="E152" s="33"/>
      <c r="F152" s="33"/>
      <c r="G152" s="33"/>
      <c r="H152" s="33"/>
      <c r="I152" s="33"/>
      <c r="J152" s="44">
        <f>(D152/100000)*Index!$E$4</f>
        <v>0</v>
      </c>
      <c r="K152" s="44">
        <f>SUMIF(Index!$C$15:$C$40,'perhitungan individu'!E152,Index!$D$15:$D$40)*Index!$E$5</f>
        <v>0</v>
      </c>
      <c r="L152" s="44">
        <f>SUMIF(Index!$E$15:$E$40,'perhitungan individu'!F152,Index!F$15:F$40)*Index!$E$6</f>
        <v>0</v>
      </c>
      <c r="M152" s="44">
        <f>SUMIF(Index!$H$15:$H$40,'perhitungan individu'!$G152,Index!$I$15:$I$40)*Index!$E$7</f>
        <v>0</v>
      </c>
      <c r="N152" s="44">
        <f>SUMIF(Index!$K$15:$K$40,'perhitungan individu'!$G152,Index!$L$15:$L$40)*Index!$E$8</f>
        <v>0</v>
      </c>
      <c r="O152" s="44">
        <f>SUMIF(Index!$M$15:$M$40,'perhitungan individu'!H152,Index!$N$15:$N$40)*Index!$E$9</f>
        <v>0</v>
      </c>
      <c r="P152" s="44">
        <f>SUMIF('Kinera Unit Kerja'!$B$4:$B$20,'perhitungan individu'!$G152,'Kinera Unit Kerja'!$G$4:$G$20)*Index!$E$10</f>
        <v>0</v>
      </c>
      <c r="Q152" s="44">
        <f>I152*Index!$E$11</f>
        <v>0</v>
      </c>
      <c r="R152" s="47">
        <f t="shared" si="3"/>
        <v>0</v>
      </c>
      <c r="S152" s="48">
        <f t="shared" si="2"/>
        <v>0</v>
      </c>
    </row>
    <row r="153" spans="1:19">
      <c r="A153" s="42"/>
      <c r="B153" s="33"/>
      <c r="C153" s="33"/>
      <c r="D153" s="43"/>
      <c r="E153" s="33"/>
      <c r="F153" s="33"/>
      <c r="G153" s="33"/>
      <c r="H153" s="33"/>
      <c r="I153" s="33"/>
      <c r="J153" s="44">
        <f>(D153/100000)*Index!$E$4</f>
        <v>0</v>
      </c>
      <c r="K153" s="44">
        <f>SUMIF(Index!$C$15:$C$40,'perhitungan individu'!E153,Index!$D$15:$D$40)*Index!$E$5</f>
        <v>0</v>
      </c>
      <c r="L153" s="44">
        <f>SUMIF(Index!$E$15:$E$40,'perhitungan individu'!F153,Index!F$15:F$40)*Index!$E$6</f>
        <v>0</v>
      </c>
      <c r="M153" s="44">
        <f>SUMIF(Index!$H$15:$H$40,'perhitungan individu'!$G153,Index!$I$15:$I$40)*Index!$E$7</f>
        <v>0</v>
      </c>
      <c r="N153" s="44">
        <f>SUMIF(Index!$K$15:$K$40,'perhitungan individu'!$G153,Index!$L$15:$L$40)*Index!$E$8</f>
        <v>0</v>
      </c>
      <c r="O153" s="44">
        <f>SUMIF(Index!$M$15:$M$40,'perhitungan individu'!H153,Index!$N$15:$N$40)*Index!$E$9</f>
        <v>0</v>
      </c>
      <c r="P153" s="44">
        <f>SUMIF('Kinera Unit Kerja'!$B$4:$B$20,'perhitungan individu'!$G153,'Kinera Unit Kerja'!$G$4:$G$20)*Index!$E$10</f>
        <v>0</v>
      </c>
      <c r="Q153" s="44">
        <f>I153*Index!$E$11</f>
        <v>0</v>
      </c>
      <c r="R153" s="47">
        <f t="shared" si="3"/>
        <v>0</v>
      </c>
      <c r="S153" s="48">
        <f t="shared" si="2"/>
        <v>0</v>
      </c>
    </row>
    <row r="154" spans="1:19">
      <c r="A154" s="42"/>
      <c r="B154" s="33"/>
      <c r="C154" s="33"/>
      <c r="D154" s="43"/>
      <c r="E154" s="33"/>
      <c r="F154" s="33"/>
      <c r="G154" s="33"/>
      <c r="H154" s="33"/>
      <c r="I154" s="33"/>
      <c r="J154" s="44">
        <f>(D154/100000)*Index!$E$4</f>
        <v>0</v>
      </c>
      <c r="K154" s="44">
        <f>SUMIF(Index!$C$15:$C$40,'perhitungan individu'!E154,Index!$D$15:$D$40)*Index!$E$5</f>
        <v>0</v>
      </c>
      <c r="L154" s="44">
        <f>SUMIF(Index!$E$15:$E$40,'perhitungan individu'!F154,Index!F$15:F$40)*Index!$E$6</f>
        <v>0</v>
      </c>
      <c r="M154" s="44">
        <f>SUMIF(Index!$H$15:$H$40,'perhitungan individu'!$G154,Index!$I$15:$I$40)*Index!$E$7</f>
        <v>0</v>
      </c>
      <c r="N154" s="44">
        <f>SUMIF(Index!$K$15:$K$40,'perhitungan individu'!$G154,Index!$L$15:$L$40)*Index!$E$8</f>
        <v>0</v>
      </c>
      <c r="O154" s="44">
        <f>SUMIF(Index!$M$15:$M$40,'perhitungan individu'!H154,Index!$N$15:$N$40)*Index!$E$9</f>
        <v>0</v>
      </c>
      <c r="P154" s="44">
        <f>SUMIF('Kinera Unit Kerja'!$B$4:$B$20,'perhitungan individu'!$G154,'Kinera Unit Kerja'!$G$4:$G$20)*Index!$E$10</f>
        <v>0</v>
      </c>
      <c r="Q154" s="44">
        <f>I154*Index!$E$11</f>
        <v>0</v>
      </c>
      <c r="R154" s="47">
        <f t="shared" si="3"/>
        <v>0</v>
      </c>
      <c r="S154" s="48">
        <f t="shared" si="2"/>
        <v>0</v>
      </c>
    </row>
    <row r="155" spans="1:19">
      <c r="A155" s="42"/>
      <c r="B155" s="33"/>
      <c r="C155" s="33"/>
      <c r="D155" s="43"/>
      <c r="E155" s="33"/>
      <c r="F155" s="33"/>
      <c r="G155" s="33"/>
      <c r="H155" s="33"/>
      <c r="I155" s="33"/>
      <c r="J155" s="44">
        <f>(D155/100000)*Index!$E$4</f>
        <v>0</v>
      </c>
      <c r="K155" s="44">
        <f>SUMIF(Index!$C$15:$C$40,'perhitungan individu'!E155,Index!$D$15:$D$40)*Index!$E$5</f>
        <v>0</v>
      </c>
      <c r="L155" s="44">
        <f>SUMIF(Index!$E$15:$E$40,'perhitungan individu'!F155,Index!F$15:F$40)*Index!$E$6</f>
        <v>0</v>
      </c>
      <c r="M155" s="44">
        <f>SUMIF(Index!$H$15:$H$40,'perhitungan individu'!$G155,Index!$I$15:$I$40)*Index!$E$7</f>
        <v>0</v>
      </c>
      <c r="N155" s="44">
        <f>SUMIF(Index!$K$15:$K$40,'perhitungan individu'!$G155,Index!$L$15:$L$40)*Index!$E$8</f>
        <v>0</v>
      </c>
      <c r="O155" s="44">
        <f>SUMIF(Index!$M$15:$M$40,'perhitungan individu'!H155,Index!$N$15:$N$40)*Index!$E$9</f>
        <v>0</v>
      </c>
      <c r="P155" s="44">
        <f>SUMIF('Kinera Unit Kerja'!$B$4:$B$20,'perhitungan individu'!$G155,'Kinera Unit Kerja'!$G$4:$G$20)*Index!$E$10</f>
        <v>0</v>
      </c>
      <c r="Q155" s="44">
        <f>I155*Index!$E$11</f>
        <v>0</v>
      </c>
      <c r="R155" s="47">
        <f t="shared" si="3"/>
        <v>0</v>
      </c>
      <c r="S155" s="48">
        <f t="shared" si="2"/>
        <v>0</v>
      </c>
    </row>
    <row r="156" spans="1:19">
      <c r="A156" s="42"/>
      <c r="B156" s="33"/>
      <c r="C156" s="33"/>
      <c r="D156" s="43"/>
      <c r="E156" s="33"/>
      <c r="F156" s="33"/>
      <c r="G156" s="33"/>
      <c r="H156" s="33"/>
      <c r="I156" s="33"/>
      <c r="J156" s="44">
        <f>(D156/100000)*Index!$E$4</f>
        <v>0</v>
      </c>
      <c r="K156" s="44">
        <f>SUMIF(Index!$C$15:$C$40,'perhitungan individu'!E156,Index!$D$15:$D$40)*Index!$E$5</f>
        <v>0</v>
      </c>
      <c r="L156" s="44">
        <f>SUMIF(Index!$E$15:$E$40,'perhitungan individu'!F156,Index!F$15:F$40)*Index!$E$6</f>
        <v>0</v>
      </c>
      <c r="M156" s="44">
        <f>SUMIF(Index!$H$15:$H$40,'perhitungan individu'!$G156,Index!$I$15:$I$40)*Index!$E$7</f>
        <v>0</v>
      </c>
      <c r="N156" s="44">
        <f>SUMIF(Index!$K$15:$K$40,'perhitungan individu'!$G156,Index!$L$15:$L$40)*Index!$E$8</f>
        <v>0</v>
      </c>
      <c r="O156" s="44">
        <f>SUMIF(Index!$M$15:$M$40,'perhitungan individu'!H156,Index!$N$15:$N$40)*Index!$E$9</f>
        <v>0</v>
      </c>
      <c r="P156" s="44">
        <f>SUMIF('Kinera Unit Kerja'!$B$4:$B$20,'perhitungan individu'!$G156,'Kinera Unit Kerja'!$G$4:$G$20)*Index!$E$10</f>
        <v>0</v>
      </c>
      <c r="Q156" s="44">
        <f>I156*Index!$E$11</f>
        <v>0</v>
      </c>
      <c r="R156" s="47">
        <f t="shared" si="3"/>
        <v>0</v>
      </c>
      <c r="S156" s="48">
        <f t="shared" si="2"/>
        <v>0</v>
      </c>
    </row>
    <row r="157" spans="1:19">
      <c r="A157" s="42"/>
      <c r="B157" s="33"/>
      <c r="C157" s="33"/>
      <c r="D157" s="43"/>
      <c r="E157" s="33"/>
      <c r="F157" s="33"/>
      <c r="G157" s="33"/>
      <c r="H157" s="33"/>
      <c r="I157" s="33"/>
      <c r="J157" s="44">
        <f>(D157/100000)*Index!$E$4</f>
        <v>0</v>
      </c>
      <c r="K157" s="44">
        <f>SUMIF(Index!$C$15:$C$40,'perhitungan individu'!E157,Index!$D$15:$D$40)*Index!$E$5</f>
        <v>0</v>
      </c>
      <c r="L157" s="44">
        <f>SUMIF(Index!$E$15:$E$40,'perhitungan individu'!F157,Index!F$15:F$40)*Index!$E$6</f>
        <v>0</v>
      </c>
      <c r="M157" s="44">
        <f>SUMIF(Index!$H$15:$H$40,'perhitungan individu'!$G157,Index!$I$15:$I$40)*Index!$E$7</f>
        <v>0</v>
      </c>
      <c r="N157" s="44">
        <f>SUMIF(Index!$K$15:$K$40,'perhitungan individu'!$G157,Index!$L$15:$L$40)*Index!$E$8</f>
        <v>0</v>
      </c>
      <c r="O157" s="44">
        <f>SUMIF(Index!$M$15:$M$40,'perhitungan individu'!H157,Index!$N$15:$N$40)*Index!$E$9</f>
        <v>0</v>
      </c>
      <c r="P157" s="44">
        <f>SUMIF('Kinera Unit Kerja'!$B$4:$B$20,'perhitungan individu'!$G157,'Kinera Unit Kerja'!$G$4:$G$20)*Index!$E$10</f>
        <v>0</v>
      </c>
      <c r="Q157" s="44">
        <f>I157*Index!$E$11</f>
        <v>0</v>
      </c>
      <c r="R157" s="47">
        <f t="shared" si="3"/>
        <v>0</v>
      </c>
      <c r="S157" s="48">
        <f t="shared" si="2"/>
        <v>0</v>
      </c>
    </row>
    <row r="158" spans="1:19">
      <c r="A158" s="42"/>
      <c r="B158" s="33"/>
      <c r="C158" s="33"/>
      <c r="D158" s="43"/>
      <c r="E158" s="33"/>
      <c r="F158" s="33"/>
      <c r="G158" s="33"/>
      <c r="H158" s="33"/>
      <c r="I158" s="33"/>
      <c r="J158" s="44">
        <f>(D158/100000)*Index!$E$4</f>
        <v>0</v>
      </c>
      <c r="K158" s="44">
        <f>SUMIF(Index!$C$15:$C$40,'perhitungan individu'!E158,Index!$D$15:$D$40)*Index!$E$5</f>
        <v>0</v>
      </c>
      <c r="L158" s="44">
        <f>SUMIF(Index!$E$15:$E$40,'perhitungan individu'!F158,Index!F$15:F$40)*Index!$E$6</f>
        <v>0</v>
      </c>
      <c r="M158" s="44">
        <f>SUMIF(Index!$H$15:$H$40,'perhitungan individu'!$G158,Index!$I$15:$I$40)*Index!$E$7</f>
        <v>0</v>
      </c>
      <c r="N158" s="44">
        <f>SUMIF(Index!$K$15:$K$40,'perhitungan individu'!$G158,Index!$L$15:$L$40)*Index!$E$8</f>
        <v>0</v>
      </c>
      <c r="O158" s="44">
        <f>SUMIF(Index!$M$15:$M$40,'perhitungan individu'!H158,Index!$N$15:$N$40)*Index!$E$9</f>
        <v>0</v>
      </c>
      <c r="P158" s="44">
        <f>SUMIF('Kinera Unit Kerja'!$B$4:$B$20,'perhitungan individu'!$G158,'Kinera Unit Kerja'!$G$4:$G$20)*Index!$E$10</f>
        <v>0</v>
      </c>
      <c r="Q158" s="44">
        <f>I158*Index!$E$11</f>
        <v>0</v>
      </c>
      <c r="R158" s="47">
        <f t="shared" si="3"/>
        <v>0</v>
      </c>
      <c r="S158" s="48">
        <f t="shared" si="2"/>
        <v>0</v>
      </c>
    </row>
    <row r="159" spans="1:19">
      <c r="A159" s="42"/>
      <c r="B159" s="33"/>
      <c r="C159" s="33"/>
      <c r="D159" s="43"/>
      <c r="E159" s="33"/>
      <c r="F159" s="33"/>
      <c r="G159" s="33"/>
      <c r="H159" s="33"/>
      <c r="I159" s="33"/>
      <c r="J159" s="44">
        <f>(D159/100000)*Index!$E$4</f>
        <v>0</v>
      </c>
      <c r="K159" s="44">
        <f>SUMIF(Index!$C$15:$C$40,'perhitungan individu'!E159,Index!$D$15:$D$40)*Index!$E$5</f>
        <v>0</v>
      </c>
      <c r="L159" s="44">
        <f>SUMIF(Index!$E$15:$E$40,'perhitungan individu'!F159,Index!F$15:F$40)*Index!$E$6</f>
        <v>0</v>
      </c>
      <c r="M159" s="44">
        <f>SUMIF(Index!$H$15:$H$40,'perhitungan individu'!$G159,Index!$I$15:$I$40)*Index!$E$7</f>
        <v>0</v>
      </c>
      <c r="N159" s="44">
        <f>SUMIF(Index!$K$15:$K$40,'perhitungan individu'!$G159,Index!$L$15:$L$40)*Index!$E$8</f>
        <v>0</v>
      </c>
      <c r="O159" s="44">
        <f>SUMIF(Index!$M$15:$M$40,'perhitungan individu'!H159,Index!$N$15:$N$40)*Index!$E$9</f>
        <v>0</v>
      </c>
      <c r="P159" s="44">
        <f>SUMIF('Kinera Unit Kerja'!$B$4:$B$20,'perhitungan individu'!$G159,'Kinera Unit Kerja'!$G$4:$G$20)*Index!$E$10</f>
        <v>0</v>
      </c>
      <c r="Q159" s="44">
        <f>I159*Index!$E$11</f>
        <v>0</v>
      </c>
      <c r="R159" s="47">
        <f t="shared" si="3"/>
        <v>0</v>
      </c>
      <c r="S159" s="48">
        <f t="shared" si="2"/>
        <v>0</v>
      </c>
    </row>
    <row r="160" spans="1:19">
      <c r="A160" s="42"/>
      <c r="B160" s="33"/>
      <c r="C160" s="33"/>
      <c r="D160" s="43"/>
      <c r="E160" s="33"/>
      <c r="F160" s="33"/>
      <c r="G160" s="33"/>
      <c r="H160" s="33"/>
      <c r="I160" s="33"/>
      <c r="J160" s="44">
        <f>(D160/100000)*Index!$E$4</f>
        <v>0</v>
      </c>
      <c r="K160" s="44">
        <f>SUMIF(Index!$C$15:$C$40,'perhitungan individu'!E160,Index!$D$15:$D$40)*Index!$E$5</f>
        <v>0</v>
      </c>
      <c r="L160" s="44">
        <f>SUMIF(Index!$E$15:$E$40,'perhitungan individu'!F160,Index!F$15:F$40)*Index!$E$6</f>
        <v>0</v>
      </c>
      <c r="M160" s="44">
        <f>SUMIF(Index!$H$15:$H$40,'perhitungan individu'!$G160,Index!$I$15:$I$40)*Index!$E$7</f>
        <v>0</v>
      </c>
      <c r="N160" s="44">
        <f>SUMIF(Index!$K$15:$K$40,'perhitungan individu'!$G160,Index!$L$15:$L$40)*Index!$E$8</f>
        <v>0</v>
      </c>
      <c r="O160" s="44">
        <f>SUMIF(Index!$M$15:$M$40,'perhitungan individu'!H160,Index!$N$15:$N$40)*Index!$E$9</f>
        <v>0</v>
      </c>
      <c r="P160" s="44">
        <f>SUMIF('Kinera Unit Kerja'!$B$4:$B$20,'perhitungan individu'!$G160,'Kinera Unit Kerja'!$G$4:$G$20)*Index!$E$10</f>
        <v>0</v>
      </c>
      <c r="Q160" s="44">
        <f>I160*Index!$E$11</f>
        <v>0</v>
      </c>
      <c r="R160" s="47">
        <f t="shared" si="3"/>
        <v>0</v>
      </c>
      <c r="S160" s="48">
        <f t="shared" ref="S160:S223" si="4">$B$29/$R$29*$R160</f>
        <v>0</v>
      </c>
    </row>
    <row r="161" spans="1:19">
      <c r="A161" s="42"/>
      <c r="B161" s="33"/>
      <c r="C161" s="33"/>
      <c r="D161" s="43"/>
      <c r="E161" s="33"/>
      <c r="F161" s="33"/>
      <c r="G161" s="33"/>
      <c r="H161" s="33"/>
      <c r="I161" s="33"/>
      <c r="J161" s="44">
        <f>(D161/100000)*Index!$E$4</f>
        <v>0</v>
      </c>
      <c r="K161" s="44">
        <f>SUMIF(Index!$C$15:$C$40,'perhitungan individu'!E161,Index!$D$15:$D$40)*Index!$E$5</f>
        <v>0</v>
      </c>
      <c r="L161" s="44">
        <f>SUMIF(Index!$E$15:$E$40,'perhitungan individu'!F161,Index!F$15:F$40)*Index!$E$6</f>
        <v>0</v>
      </c>
      <c r="M161" s="44">
        <f>SUMIF(Index!$H$15:$H$40,'perhitungan individu'!$G161,Index!$I$15:$I$40)*Index!$E$7</f>
        <v>0</v>
      </c>
      <c r="N161" s="44">
        <f>SUMIF(Index!$K$15:$K$40,'perhitungan individu'!$G161,Index!$L$15:$L$40)*Index!$E$8</f>
        <v>0</v>
      </c>
      <c r="O161" s="44">
        <f>SUMIF(Index!$M$15:$M$40,'perhitungan individu'!H161,Index!$N$15:$N$40)*Index!$E$9</f>
        <v>0</v>
      </c>
      <c r="P161" s="44">
        <f>SUMIF('Kinera Unit Kerja'!$B$4:$B$20,'perhitungan individu'!$G161,'Kinera Unit Kerja'!$G$4:$G$20)*Index!$E$10</f>
        <v>0</v>
      </c>
      <c r="Q161" s="44">
        <f>I161*Index!$E$11</f>
        <v>0</v>
      </c>
      <c r="R161" s="47">
        <f t="shared" si="3"/>
        <v>0</v>
      </c>
      <c r="S161" s="48">
        <f t="shared" si="4"/>
        <v>0</v>
      </c>
    </row>
    <row r="162" spans="1:19">
      <c r="A162" s="42"/>
      <c r="B162" s="33"/>
      <c r="C162" s="33"/>
      <c r="D162" s="43"/>
      <c r="E162" s="33"/>
      <c r="F162" s="33"/>
      <c r="G162" s="33"/>
      <c r="H162" s="33"/>
      <c r="I162" s="33"/>
      <c r="J162" s="44">
        <f>(D162/100000)*Index!$E$4</f>
        <v>0</v>
      </c>
      <c r="K162" s="44">
        <f>SUMIF(Index!$C$15:$C$40,'perhitungan individu'!E162,Index!$D$15:$D$40)*Index!$E$5</f>
        <v>0</v>
      </c>
      <c r="L162" s="44">
        <f>SUMIF(Index!$E$15:$E$40,'perhitungan individu'!F162,Index!F$15:F$40)*Index!$E$6</f>
        <v>0</v>
      </c>
      <c r="M162" s="44">
        <f>SUMIF(Index!$H$15:$H$40,'perhitungan individu'!$G162,Index!$I$15:$I$40)*Index!$E$7</f>
        <v>0</v>
      </c>
      <c r="N162" s="44">
        <f>SUMIF(Index!$K$15:$K$40,'perhitungan individu'!$G162,Index!$L$15:$L$40)*Index!$E$8</f>
        <v>0</v>
      </c>
      <c r="O162" s="44">
        <f>SUMIF(Index!$M$15:$M$40,'perhitungan individu'!H162,Index!$N$15:$N$40)*Index!$E$9</f>
        <v>0</v>
      </c>
      <c r="P162" s="44">
        <f>SUMIF('Kinera Unit Kerja'!$B$4:$B$20,'perhitungan individu'!$G162,'Kinera Unit Kerja'!$G$4:$G$20)*Index!$E$10</f>
        <v>0</v>
      </c>
      <c r="Q162" s="44">
        <f>I162*Index!$E$11</f>
        <v>0</v>
      </c>
      <c r="R162" s="47">
        <f t="shared" si="3"/>
        <v>0</v>
      </c>
      <c r="S162" s="48">
        <f t="shared" si="4"/>
        <v>0</v>
      </c>
    </row>
    <row r="163" spans="1:19">
      <c r="A163" s="42"/>
      <c r="B163" s="33"/>
      <c r="C163" s="33"/>
      <c r="D163" s="43"/>
      <c r="E163" s="33"/>
      <c r="F163" s="33"/>
      <c r="G163" s="33"/>
      <c r="H163" s="33"/>
      <c r="I163" s="33"/>
      <c r="J163" s="44">
        <f>(D163/100000)*Index!$E$4</f>
        <v>0</v>
      </c>
      <c r="K163" s="44">
        <f>SUMIF(Index!$C$15:$C$40,'perhitungan individu'!E163,Index!$D$15:$D$40)*Index!$E$5</f>
        <v>0</v>
      </c>
      <c r="L163" s="44">
        <f>SUMIF(Index!$E$15:$E$40,'perhitungan individu'!F163,Index!F$15:F$40)*Index!$E$6</f>
        <v>0</v>
      </c>
      <c r="M163" s="44">
        <f>SUMIF(Index!$H$15:$H$40,'perhitungan individu'!$G163,Index!$I$15:$I$40)*Index!$E$7</f>
        <v>0</v>
      </c>
      <c r="N163" s="44">
        <f>SUMIF(Index!$K$15:$K$40,'perhitungan individu'!$G163,Index!$L$15:$L$40)*Index!$E$8</f>
        <v>0</v>
      </c>
      <c r="O163" s="44">
        <f>SUMIF(Index!$M$15:$M$40,'perhitungan individu'!H163,Index!$N$15:$N$40)*Index!$E$9</f>
        <v>0</v>
      </c>
      <c r="P163" s="44">
        <f>SUMIF('Kinera Unit Kerja'!$B$4:$B$20,'perhitungan individu'!$G163,'Kinera Unit Kerja'!$G$4:$G$20)*Index!$E$10</f>
        <v>0</v>
      </c>
      <c r="Q163" s="44">
        <f>I163*Index!$E$11</f>
        <v>0</v>
      </c>
      <c r="R163" s="47">
        <f t="shared" ref="R163:R226" si="5">SUM(J163:Q163)</f>
        <v>0</v>
      </c>
      <c r="S163" s="48">
        <f t="shared" si="4"/>
        <v>0</v>
      </c>
    </row>
    <row r="164" spans="1:19">
      <c r="A164" s="42"/>
      <c r="B164" s="33"/>
      <c r="C164" s="33"/>
      <c r="D164" s="43"/>
      <c r="E164" s="33"/>
      <c r="F164" s="33"/>
      <c r="G164" s="33"/>
      <c r="H164" s="33"/>
      <c r="I164" s="33"/>
      <c r="J164" s="44">
        <f>(D164/100000)*Index!$E$4</f>
        <v>0</v>
      </c>
      <c r="K164" s="44">
        <f>SUMIF(Index!$C$15:$C$40,'perhitungan individu'!E164,Index!$D$15:$D$40)*Index!$E$5</f>
        <v>0</v>
      </c>
      <c r="L164" s="44">
        <f>SUMIF(Index!$E$15:$E$40,'perhitungan individu'!F164,Index!F$15:F$40)*Index!$E$6</f>
        <v>0</v>
      </c>
      <c r="M164" s="44">
        <f>SUMIF(Index!$H$15:$H$40,'perhitungan individu'!$G164,Index!$I$15:$I$40)*Index!$E$7</f>
        <v>0</v>
      </c>
      <c r="N164" s="44">
        <f>SUMIF(Index!$K$15:$K$40,'perhitungan individu'!$G164,Index!$L$15:$L$40)*Index!$E$8</f>
        <v>0</v>
      </c>
      <c r="O164" s="44">
        <f>SUMIF(Index!$M$15:$M$40,'perhitungan individu'!H164,Index!$N$15:$N$40)*Index!$E$9</f>
        <v>0</v>
      </c>
      <c r="P164" s="44">
        <f>SUMIF('Kinera Unit Kerja'!$B$4:$B$20,'perhitungan individu'!$G164,'Kinera Unit Kerja'!$G$4:$G$20)*Index!$E$10</f>
        <v>0</v>
      </c>
      <c r="Q164" s="44">
        <f>I164*Index!$E$11</f>
        <v>0</v>
      </c>
      <c r="R164" s="47">
        <f t="shared" si="5"/>
        <v>0</v>
      </c>
      <c r="S164" s="48">
        <f t="shared" si="4"/>
        <v>0</v>
      </c>
    </row>
    <row r="165" spans="1:19">
      <c r="A165" s="42"/>
      <c r="B165" s="33"/>
      <c r="C165" s="33"/>
      <c r="D165" s="43"/>
      <c r="E165" s="33"/>
      <c r="F165" s="33"/>
      <c r="G165" s="33"/>
      <c r="H165" s="33"/>
      <c r="I165" s="33"/>
      <c r="J165" s="44">
        <f>(D165/100000)*Index!$E$4</f>
        <v>0</v>
      </c>
      <c r="K165" s="44">
        <f>SUMIF(Index!$C$15:$C$40,'perhitungan individu'!E165,Index!$D$15:$D$40)*Index!$E$5</f>
        <v>0</v>
      </c>
      <c r="L165" s="44">
        <f>SUMIF(Index!$E$15:$E$40,'perhitungan individu'!F165,Index!F$15:F$40)*Index!$E$6</f>
        <v>0</v>
      </c>
      <c r="M165" s="44">
        <f>SUMIF(Index!$H$15:$H$40,'perhitungan individu'!$G165,Index!$I$15:$I$40)*Index!$E$7</f>
        <v>0</v>
      </c>
      <c r="N165" s="44">
        <f>SUMIF(Index!$K$15:$K$40,'perhitungan individu'!$G165,Index!$L$15:$L$40)*Index!$E$8</f>
        <v>0</v>
      </c>
      <c r="O165" s="44">
        <f>SUMIF(Index!$M$15:$M$40,'perhitungan individu'!H165,Index!$N$15:$N$40)*Index!$E$9</f>
        <v>0</v>
      </c>
      <c r="P165" s="44">
        <f>SUMIF('Kinera Unit Kerja'!$B$4:$B$20,'perhitungan individu'!$G165,'Kinera Unit Kerja'!$G$4:$G$20)*Index!$E$10</f>
        <v>0</v>
      </c>
      <c r="Q165" s="44">
        <f>I165*Index!$E$11</f>
        <v>0</v>
      </c>
      <c r="R165" s="47">
        <f t="shared" si="5"/>
        <v>0</v>
      </c>
      <c r="S165" s="48">
        <f t="shared" si="4"/>
        <v>0</v>
      </c>
    </row>
    <row r="166" spans="1:19">
      <c r="A166" s="42"/>
      <c r="B166" s="33"/>
      <c r="C166" s="33"/>
      <c r="D166" s="43"/>
      <c r="E166" s="33"/>
      <c r="F166" s="33"/>
      <c r="G166" s="33"/>
      <c r="H166" s="33"/>
      <c r="I166" s="33"/>
      <c r="J166" s="44">
        <f>(D166/100000)*Index!$E$4</f>
        <v>0</v>
      </c>
      <c r="K166" s="44">
        <f>SUMIF(Index!$C$15:$C$40,'perhitungan individu'!E166,Index!$D$15:$D$40)*Index!$E$5</f>
        <v>0</v>
      </c>
      <c r="L166" s="44">
        <f>SUMIF(Index!$E$15:$E$40,'perhitungan individu'!F166,Index!F$15:F$40)*Index!$E$6</f>
        <v>0</v>
      </c>
      <c r="M166" s="44">
        <f>SUMIF(Index!$H$15:$H$40,'perhitungan individu'!$G166,Index!$I$15:$I$40)*Index!$E$7</f>
        <v>0</v>
      </c>
      <c r="N166" s="44">
        <f>SUMIF(Index!$K$15:$K$40,'perhitungan individu'!$G166,Index!$L$15:$L$40)*Index!$E$8</f>
        <v>0</v>
      </c>
      <c r="O166" s="44">
        <f>SUMIF(Index!$M$15:$M$40,'perhitungan individu'!H166,Index!$N$15:$N$40)*Index!$E$9</f>
        <v>0</v>
      </c>
      <c r="P166" s="44">
        <f>SUMIF('Kinera Unit Kerja'!$B$4:$B$20,'perhitungan individu'!$G166,'Kinera Unit Kerja'!$G$4:$G$20)*Index!$E$10</f>
        <v>0</v>
      </c>
      <c r="Q166" s="44">
        <f>I166*Index!$E$11</f>
        <v>0</v>
      </c>
      <c r="R166" s="47">
        <f t="shared" si="5"/>
        <v>0</v>
      </c>
      <c r="S166" s="48">
        <f t="shared" si="4"/>
        <v>0</v>
      </c>
    </row>
    <row r="167" spans="1:19">
      <c r="A167" s="42"/>
      <c r="B167" s="33"/>
      <c r="C167" s="33"/>
      <c r="D167" s="43"/>
      <c r="E167" s="33"/>
      <c r="F167" s="33"/>
      <c r="G167" s="33"/>
      <c r="H167" s="33"/>
      <c r="I167" s="33"/>
      <c r="J167" s="44">
        <f>(D167/100000)*Index!$E$4</f>
        <v>0</v>
      </c>
      <c r="K167" s="44">
        <f>SUMIF(Index!$C$15:$C$40,'perhitungan individu'!E167,Index!$D$15:$D$40)*Index!$E$5</f>
        <v>0</v>
      </c>
      <c r="L167" s="44">
        <f>SUMIF(Index!$E$15:$E$40,'perhitungan individu'!F167,Index!F$15:F$40)*Index!$E$6</f>
        <v>0</v>
      </c>
      <c r="M167" s="44">
        <f>SUMIF(Index!$H$15:$H$40,'perhitungan individu'!$G167,Index!$I$15:$I$40)*Index!$E$7</f>
        <v>0</v>
      </c>
      <c r="N167" s="44">
        <f>SUMIF(Index!$K$15:$K$40,'perhitungan individu'!$G167,Index!$L$15:$L$40)*Index!$E$8</f>
        <v>0</v>
      </c>
      <c r="O167" s="44">
        <f>SUMIF(Index!$M$15:$M$40,'perhitungan individu'!H167,Index!$N$15:$N$40)*Index!$E$9</f>
        <v>0</v>
      </c>
      <c r="P167" s="44">
        <f>SUMIF('Kinera Unit Kerja'!$B$4:$B$20,'perhitungan individu'!$G167,'Kinera Unit Kerja'!$G$4:$G$20)*Index!$E$10</f>
        <v>0</v>
      </c>
      <c r="Q167" s="44">
        <f>I167*Index!$E$11</f>
        <v>0</v>
      </c>
      <c r="R167" s="47">
        <f t="shared" si="5"/>
        <v>0</v>
      </c>
      <c r="S167" s="48">
        <f t="shared" si="4"/>
        <v>0</v>
      </c>
    </row>
    <row r="168" spans="1:19">
      <c r="A168" s="42"/>
      <c r="B168" s="33"/>
      <c r="C168" s="33"/>
      <c r="D168" s="43"/>
      <c r="E168" s="33"/>
      <c r="F168" s="33"/>
      <c r="G168" s="33"/>
      <c r="H168" s="33"/>
      <c r="I168" s="33"/>
      <c r="J168" s="44">
        <f>(D168/100000)*Index!$E$4</f>
        <v>0</v>
      </c>
      <c r="K168" s="44">
        <f>SUMIF(Index!$C$15:$C$40,'perhitungan individu'!E168,Index!$D$15:$D$40)*Index!$E$5</f>
        <v>0</v>
      </c>
      <c r="L168" s="44">
        <f>SUMIF(Index!$E$15:$E$40,'perhitungan individu'!F168,Index!F$15:F$40)*Index!$E$6</f>
        <v>0</v>
      </c>
      <c r="M168" s="44">
        <f>SUMIF(Index!$H$15:$H$40,'perhitungan individu'!$G168,Index!$I$15:$I$40)*Index!$E$7</f>
        <v>0</v>
      </c>
      <c r="N168" s="44">
        <f>SUMIF(Index!$K$15:$K$40,'perhitungan individu'!$G168,Index!$L$15:$L$40)*Index!$E$8</f>
        <v>0</v>
      </c>
      <c r="O168" s="44">
        <f>SUMIF(Index!$M$15:$M$40,'perhitungan individu'!H168,Index!$N$15:$N$40)*Index!$E$9</f>
        <v>0</v>
      </c>
      <c r="P168" s="44">
        <f>SUMIF('Kinera Unit Kerja'!$B$4:$B$20,'perhitungan individu'!$G168,'Kinera Unit Kerja'!$G$4:$G$20)*Index!$E$10</f>
        <v>0</v>
      </c>
      <c r="Q168" s="44">
        <f>I168*Index!$E$11</f>
        <v>0</v>
      </c>
      <c r="R168" s="47">
        <f t="shared" si="5"/>
        <v>0</v>
      </c>
      <c r="S168" s="48">
        <f t="shared" si="4"/>
        <v>0</v>
      </c>
    </row>
    <row r="169" spans="1:19">
      <c r="A169" s="42"/>
      <c r="B169" s="33"/>
      <c r="C169" s="33"/>
      <c r="D169" s="43"/>
      <c r="E169" s="33"/>
      <c r="F169" s="33"/>
      <c r="G169" s="33"/>
      <c r="H169" s="33"/>
      <c r="I169" s="33"/>
      <c r="J169" s="44">
        <f>(D169/100000)*Index!$E$4</f>
        <v>0</v>
      </c>
      <c r="K169" s="44">
        <f>SUMIF(Index!$C$15:$C$40,'perhitungan individu'!E169,Index!$D$15:$D$40)*Index!$E$5</f>
        <v>0</v>
      </c>
      <c r="L169" s="44">
        <f>SUMIF(Index!$E$15:$E$40,'perhitungan individu'!F169,Index!F$15:F$40)*Index!$E$6</f>
        <v>0</v>
      </c>
      <c r="M169" s="44">
        <f>SUMIF(Index!$H$15:$H$40,'perhitungan individu'!$G169,Index!$I$15:$I$40)*Index!$E$7</f>
        <v>0</v>
      </c>
      <c r="N169" s="44">
        <f>SUMIF(Index!$K$15:$K$40,'perhitungan individu'!$G169,Index!$L$15:$L$40)*Index!$E$8</f>
        <v>0</v>
      </c>
      <c r="O169" s="44">
        <f>SUMIF(Index!$M$15:$M$40,'perhitungan individu'!H169,Index!$N$15:$N$40)*Index!$E$9</f>
        <v>0</v>
      </c>
      <c r="P169" s="44">
        <f>SUMIF('Kinera Unit Kerja'!$B$4:$B$20,'perhitungan individu'!$G169,'Kinera Unit Kerja'!$G$4:$G$20)*Index!$E$10</f>
        <v>0</v>
      </c>
      <c r="Q169" s="44">
        <f>I169*Index!$E$11</f>
        <v>0</v>
      </c>
      <c r="R169" s="47">
        <f t="shared" si="5"/>
        <v>0</v>
      </c>
      <c r="S169" s="48">
        <f t="shared" si="4"/>
        <v>0</v>
      </c>
    </row>
    <row r="170" spans="1:19">
      <c r="A170" s="42"/>
      <c r="B170" s="33"/>
      <c r="C170" s="33"/>
      <c r="D170" s="43"/>
      <c r="E170" s="33"/>
      <c r="F170" s="33"/>
      <c r="G170" s="33"/>
      <c r="H170" s="33"/>
      <c r="I170" s="33"/>
      <c r="J170" s="44">
        <f>(D170/100000)*Index!$E$4</f>
        <v>0</v>
      </c>
      <c r="K170" s="44">
        <f>SUMIF(Index!$C$15:$C$40,'perhitungan individu'!E170,Index!$D$15:$D$40)*Index!$E$5</f>
        <v>0</v>
      </c>
      <c r="L170" s="44">
        <f>SUMIF(Index!$E$15:$E$40,'perhitungan individu'!F170,Index!F$15:F$40)*Index!$E$6</f>
        <v>0</v>
      </c>
      <c r="M170" s="44">
        <f>SUMIF(Index!$H$15:$H$40,'perhitungan individu'!$G170,Index!$I$15:$I$40)*Index!$E$7</f>
        <v>0</v>
      </c>
      <c r="N170" s="44">
        <f>SUMIF(Index!$K$15:$K$40,'perhitungan individu'!$G170,Index!$L$15:$L$40)*Index!$E$8</f>
        <v>0</v>
      </c>
      <c r="O170" s="44">
        <f>SUMIF(Index!$M$15:$M$40,'perhitungan individu'!H170,Index!$N$15:$N$40)*Index!$E$9</f>
        <v>0</v>
      </c>
      <c r="P170" s="44">
        <f>SUMIF('Kinera Unit Kerja'!$B$4:$B$20,'perhitungan individu'!$G170,'Kinera Unit Kerja'!$G$4:$G$20)*Index!$E$10</f>
        <v>0</v>
      </c>
      <c r="Q170" s="44">
        <f>I170*Index!$E$11</f>
        <v>0</v>
      </c>
      <c r="R170" s="47">
        <f t="shared" si="5"/>
        <v>0</v>
      </c>
      <c r="S170" s="48">
        <f t="shared" si="4"/>
        <v>0</v>
      </c>
    </row>
    <row r="171" spans="1:19">
      <c r="A171" s="42"/>
      <c r="B171" s="33"/>
      <c r="C171" s="33"/>
      <c r="D171" s="43"/>
      <c r="E171" s="33"/>
      <c r="F171" s="33"/>
      <c r="G171" s="33"/>
      <c r="H171" s="33"/>
      <c r="I171" s="33"/>
      <c r="J171" s="44">
        <f>(D171/100000)*Index!$E$4</f>
        <v>0</v>
      </c>
      <c r="K171" s="44">
        <f>SUMIF(Index!$C$15:$C$40,'perhitungan individu'!E171,Index!$D$15:$D$40)*Index!$E$5</f>
        <v>0</v>
      </c>
      <c r="L171" s="44">
        <f>SUMIF(Index!$E$15:$E$40,'perhitungan individu'!F171,Index!F$15:F$40)*Index!$E$6</f>
        <v>0</v>
      </c>
      <c r="M171" s="44">
        <f>SUMIF(Index!$H$15:$H$40,'perhitungan individu'!$G171,Index!$I$15:$I$40)*Index!$E$7</f>
        <v>0</v>
      </c>
      <c r="N171" s="44">
        <f>SUMIF(Index!$K$15:$K$40,'perhitungan individu'!$G171,Index!$L$15:$L$40)*Index!$E$8</f>
        <v>0</v>
      </c>
      <c r="O171" s="44">
        <f>SUMIF(Index!$M$15:$M$40,'perhitungan individu'!H171,Index!$N$15:$N$40)*Index!$E$9</f>
        <v>0</v>
      </c>
      <c r="P171" s="44">
        <f>SUMIF('Kinera Unit Kerja'!$B$4:$B$20,'perhitungan individu'!$G171,'Kinera Unit Kerja'!$G$4:$G$20)*Index!$E$10</f>
        <v>0</v>
      </c>
      <c r="Q171" s="44">
        <f>I171*Index!$E$11</f>
        <v>0</v>
      </c>
      <c r="R171" s="47">
        <f t="shared" si="5"/>
        <v>0</v>
      </c>
      <c r="S171" s="48">
        <f t="shared" si="4"/>
        <v>0</v>
      </c>
    </row>
    <row r="172" spans="1:19">
      <c r="A172" s="42"/>
      <c r="B172" s="33"/>
      <c r="C172" s="33"/>
      <c r="D172" s="43"/>
      <c r="E172" s="33"/>
      <c r="F172" s="33"/>
      <c r="G172" s="33"/>
      <c r="H172" s="33"/>
      <c r="I172" s="33"/>
      <c r="J172" s="44">
        <f>(D172/100000)*Index!$E$4</f>
        <v>0</v>
      </c>
      <c r="K172" s="44">
        <f>SUMIF(Index!$C$15:$C$40,'perhitungan individu'!E172,Index!$D$15:$D$40)*Index!$E$5</f>
        <v>0</v>
      </c>
      <c r="L172" s="44">
        <f>SUMIF(Index!$E$15:$E$40,'perhitungan individu'!F172,Index!F$15:F$40)*Index!$E$6</f>
        <v>0</v>
      </c>
      <c r="M172" s="44">
        <f>SUMIF(Index!$H$15:$H$40,'perhitungan individu'!$G172,Index!$I$15:$I$40)*Index!$E$7</f>
        <v>0</v>
      </c>
      <c r="N172" s="44">
        <f>SUMIF(Index!$K$15:$K$40,'perhitungan individu'!$G172,Index!$L$15:$L$40)*Index!$E$8</f>
        <v>0</v>
      </c>
      <c r="O172" s="44">
        <f>SUMIF(Index!$M$15:$M$40,'perhitungan individu'!H172,Index!$N$15:$N$40)*Index!$E$9</f>
        <v>0</v>
      </c>
      <c r="P172" s="44">
        <f>SUMIF('Kinera Unit Kerja'!$B$4:$B$20,'perhitungan individu'!$G172,'Kinera Unit Kerja'!$G$4:$G$20)*Index!$E$10</f>
        <v>0</v>
      </c>
      <c r="Q172" s="44">
        <f>I172*Index!$E$11</f>
        <v>0</v>
      </c>
      <c r="R172" s="47">
        <f t="shared" si="5"/>
        <v>0</v>
      </c>
      <c r="S172" s="48">
        <f t="shared" si="4"/>
        <v>0</v>
      </c>
    </row>
    <row r="173" spans="1:19">
      <c r="A173" s="42"/>
      <c r="B173" s="33"/>
      <c r="C173" s="33"/>
      <c r="D173" s="43"/>
      <c r="E173" s="33"/>
      <c r="F173" s="33"/>
      <c r="G173" s="33"/>
      <c r="H173" s="33"/>
      <c r="I173" s="33"/>
      <c r="J173" s="44">
        <f>(D173/100000)*Index!$E$4</f>
        <v>0</v>
      </c>
      <c r="K173" s="44">
        <f>SUMIF(Index!$C$15:$C$40,'perhitungan individu'!E173,Index!$D$15:$D$40)*Index!$E$5</f>
        <v>0</v>
      </c>
      <c r="L173" s="44">
        <f>SUMIF(Index!$E$15:$E$40,'perhitungan individu'!F173,Index!F$15:F$40)*Index!$E$6</f>
        <v>0</v>
      </c>
      <c r="M173" s="44">
        <f>SUMIF(Index!$H$15:$H$40,'perhitungan individu'!$G173,Index!$I$15:$I$40)*Index!$E$7</f>
        <v>0</v>
      </c>
      <c r="N173" s="44">
        <f>SUMIF(Index!$K$15:$K$40,'perhitungan individu'!$G173,Index!$L$15:$L$40)*Index!$E$8</f>
        <v>0</v>
      </c>
      <c r="O173" s="44">
        <f>SUMIF(Index!$M$15:$M$40,'perhitungan individu'!H173,Index!$N$15:$N$40)*Index!$E$9</f>
        <v>0</v>
      </c>
      <c r="P173" s="44">
        <f>SUMIF('Kinera Unit Kerja'!$B$4:$B$20,'perhitungan individu'!$G173,'Kinera Unit Kerja'!$G$4:$G$20)*Index!$E$10</f>
        <v>0</v>
      </c>
      <c r="Q173" s="44">
        <f>I173*Index!$E$11</f>
        <v>0</v>
      </c>
      <c r="R173" s="47">
        <f t="shared" si="5"/>
        <v>0</v>
      </c>
      <c r="S173" s="48">
        <f t="shared" si="4"/>
        <v>0</v>
      </c>
    </row>
    <row r="174" spans="1:19">
      <c r="A174" s="42"/>
      <c r="B174" s="33"/>
      <c r="C174" s="33"/>
      <c r="D174" s="43"/>
      <c r="E174" s="33"/>
      <c r="F174" s="33"/>
      <c r="G174" s="33"/>
      <c r="H174" s="33"/>
      <c r="I174" s="33"/>
      <c r="J174" s="44">
        <f>(D174/100000)*Index!$E$4</f>
        <v>0</v>
      </c>
      <c r="K174" s="44">
        <f>SUMIF(Index!$C$15:$C$40,'perhitungan individu'!E174,Index!$D$15:$D$40)*Index!$E$5</f>
        <v>0</v>
      </c>
      <c r="L174" s="44">
        <f>SUMIF(Index!$E$15:$E$40,'perhitungan individu'!F174,Index!F$15:F$40)*Index!$E$6</f>
        <v>0</v>
      </c>
      <c r="M174" s="44">
        <f>SUMIF(Index!$H$15:$H$40,'perhitungan individu'!$G174,Index!$I$15:$I$40)*Index!$E$7</f>
        <v>0</v>
      </c>
      <c r="N174" s="44">
        <f>SUMIF(Index!$K$15:$K$40,'perhitungan individu'!$G174,Index!$L$15:$L$40)*Index!$E$8</f>
        <v>0</v>
      </c>
      <c r="O174" s="44">
        <f>SUMIF(Index!$M$15:$M$40,'perhitungan individu'!H174,Index!$N$15:$N$40)*Index!$E$9</f>
        <v>0</v>
      </c>
      <c r="P174" s="44">
        <f>SUMIF('Kinera Unit Kerja'!$B$4:$B$20,'perhitungan individu'!$G174,'Kinera Unit Kerja'!$G$4:$G$20)*Index!$E$10</f>
        <v>0</v>
      </c>
      <c r="Q174" s="44">
        <f>I174*Index!$E$11</f>
        <v>0</v>
      </c>
      <c r="R174" s="47">
        <f t="shared" si="5"/>
        <v>0</v>
      </c>
      <c r="S174" s="48">
        <f t="shared" si="4"/>
        <v>0</v>
      </c>
    </row>
    <row r="175" spans="1:19">
      <c r="A175" s="42"/>
      <c r="B175" s="33"/>
      <c r="C175" s="33"/>
      <c r="D175" s="43"/>
      <c r="E175" s="33"/>
      <c r="F175" s="33"/>
      <c r="G175" s="33"/>
      <c r="H175" s="33"/>
      <c r="I175" s="33"/>
      <c r="J175" s="44">
        <f>(D175/100000)*Index!$E$4</f>
        <v>0</v>
      </c>
      <c r="K175" s="44">
        <f>SUMIF(Index!$C$15:$C$40,'perhitungan individu'!E175,Index!$D$15:$D$40)*Index!$E$5</f>
        <v>0</v>
      </c>
      <c r="L175" s="44">
        <f>SUMIF(Index!$E$15:$E$40,'perhitungan individu'!F175,Index!F$15:F$40)*Index!$E$6</f>
        <v>0</v>
      </c>
      <c r="M175" s="44">
        <f>SUMIF(Index!$H$15:$H$40,'perhitungan individu'!$G175,Index!$I$15:$I$40)*Index!$E$7</f>
        <v>0</v>
      </c>
      <c r="N175" s="44">
        <f>SUMIF(Index!$K$15:$K$40,'perhitungan individu'!$G175,Index!$L$15:$L$40)*Index!$E$8</f>
        <v>0</v>
      </c>
      <c r="O175" s="44">
        <f>SUMIF(Index!$M$15:$M$40,'perhitungan individu'!H175,Index!$N$15:$N$40)*Index!$E$9</f>
        <v>0</v>
      </c>
      <c r="P175" s="44">
        <f>SUMIF('Kinera Unit Kerja'!$B$4:$B$20,'perhitungan individu'!$G175,'Kinera Unit Kerja'!$G$4:$G$20)*Index!$E$10</f>
        <v>0</v>
      </c>
      <c r="Q175" s="44">
        <f>I175*Index!$E$11</f>
        <v>0</v>
      </c>
      <c r="R175" s="47">
        <f t="shared" si="5"/>
        <v>0</v>
      </c>
      <c r="S175" s="48">
        <f t="shared" si="4"/>
        <v>0</v>
      </c>
    </row>
    <row r="176" spans="1:19">
      <c r="A176" s="42"/>
      <c r="B176" s="33"/>
      <c r="C176" s="33"/>
      <c r="D176" s="43"/>
      <c r="E176" s="33"/>
      <c r="F176" s="33"/>
      <c r="G176" s="33"/>
      <c r="H176" s="33"/>
      <c r="I176" s="33"/>
      <c r="J176" s="44">
        <f>(D176/100000)*Index!$E$4</f>
        <v>0</v>
      </c>
      <c r="K176" s="44">
        <f>SUMIF(Index!$C$15:$C$40,'perhitungan individu'!E176,Index!$D$15:$D$40)*Index!$E$5</f>
        <v>0</v>
      </c>
      <c r="L176" s="44">
        <f>SUMIF(Index!$E$15:$E$40,'perhitungan individu'!F176,Index!F$15:F$40)*Index!$E$6</f>
        <v>0</v>
      </c>
      <c r="M176" s="44">
        <f>SUMIF(Index!$H$15:$H$40,'perhitungan individu'!$G176,Index!$I$15:$I$40)*Index!$E$7</f>
        <v>0</v>
      </c>
      <c r="N176" s="44">
        <f>SUMIF(Index!$K$15:$K$40,'perhitungan individu'!$G176,Index!$L$15:$L$40)*Index!$E$8</f>
        <v>0</v>
      </c>
      <c r="O176" s="44">
        <f>SUMIF(Index!$M$15:$M$40,'perhitungan individu'!H176,Index!$N$15:$N$40)*Index!$E$9</f>
        <v>0</v>
      </c>
      <c r="P176" s="44">
        <f>SUMIF('Kinera Unit Kerja'!$B$4:$B$20,'perhitungan individu'!$G176,'Kinera Unit Kerja'!$G$4:$G$20)*Index!$E$10</f>
        <v>0</v>
      </c>
      <c r="Q176" s="44">
        <f>I176*Index!$E$11</f>
        <v>0</v>
      </c>
      <c r="R176" s="47">
        <f t="shared" si="5"/>
        <v>0</v>
      </c>
      <c r="S176" s="48">
        <f t="shared" si="4"/>
        <v>0</v>
      </c>
    </row>
    <row r="177" spans="1:19">
      <c r="A177" s="42"/>
      <c r="B177" s="33"/>
      <c r="C177" s="33"/>
      <c r="D177" s="43"/>
      <c r="E177" s="33"/>
      <c r="F177" s="33"/>
      <c r="G177" s="33"/>
      <c r="H177" s="33"/>
      <c r="I177" s="33"/>
      <c r="J177" s="44">
        <f>(D177/100000)*Index!$E$4</f>
        <v>0</v>
      </c>
      <c r="K177" s="44">
        <f>SUMIF(Index!$C$15:$C$40,'perhitungan individu'!E177,Index!$D$15:$D$40)*Index!$E$5</f>
        <v>0</v>
      </c>
      <c r="L177" s="44">
        <f>SUMIF(Index!$E$15:$E$40,'perhitungan individu'!F177,Index!F$15:F$40)*Index!$E$6</f>
        <v>0</v>
      </c>
      <c r="M177" s="44">
        <f>SUMIF(Index!$H$15:$H$40,'perhitungan individu'!$G177,Index!$I$15:$I$40)*Index!$E$7</f>
        <v>0</v>
      </c>
      <c r="N177" s="44">
        <f>SUMIF(Index!$K$15:$K$40,'perhitungan individu'!$G177,Index!$L$15:$L$40)*Index!$E$8</f>
        <v>0</v>
      </c>
      <c r="O177" s="44">
        <f>SUMIF(Index!$M$15:$M$40,'perhitungan individu'!H177,Index!$N$15:$N$40)*Index!$E$9</f>
        <v>0</v>
      </c>
      <c r="P177" s="44">
        <f>SUMIF('Kinera Unit Kerja'!$B$4:$B$20,'perhitungan individu'!$G177,'Kinera Unit Kerja'!$G$4:$G$20)*Index!$E$10</f>
        <v>0</v>
      </c>
      <c r="Q177" s="44">
        <f>I177*Index!$E$11</f>
        <v>0</v>
      </c>
      <c r="R177" s="47">
        <f t="shared" si="5"/>
        <v>0</v>
      </c>
      <c r="S177" s="48">
        <f t="shared" si="4"/>
        <v>0</v>
      </c>
    </row>
    <row r="178" spans="1:19">
      <c r="A178" s="42"/>
      <c r="B178" s="33"/>
      <c r="C178" s="33"/>
      <c r="D178" s="43"/>
      <c r="E178" s="33"/>
      <c r="F178" s="33"/>
      <c r="G178" s="33"/>
      <c r="H178" s="33"/>
      <c r="I178" s="33"/>
      <c r="J178" s="44">
        <f>(D178/100000)*Index!$E$4</f>
        <v>0</v>
      </c>
      <c r="K178" s="44">
        <f>SUMIF(Index!$C$15:$C$40,'perhitungan individu'!E178,Index!$D$15:$D$40)*Index!$E$5</f>
        <v>0</v>
      </c>
      <c r="L178" s="44">
        <f>SUMIF(Index!$E$15:$E$40,'perhitungan individu'!F178,Index!F$15:F$40)*Index!$E$6</f>
        <v>0</v>
      </c>
      <c r="M178" s="44">
        <f>SUMIF(Index!$H$15:$H$40,'perhitungan individu'!$G178,Index!$I$15:$I$40)*Index!$E$7</f>
        <v>0</v>
      </c>
      <c r="N178" s="44">
        <f>SUMIF(Index!$K$15:$K$40,'perhitungan individu'!$G178,Index!$L$15:$L$40)*Index!$E$8</f>
        <v>0</v>
      </c>
      <c r="O178" s="44">
        <f>SUMIF(Index!$M$15:$M$40,'perhitungan individu'!H178,Index!$N$15:$N$40)*Index!$E$9</f>
        <v>0</v>
      </c>
      <c r="P178" s="44">
        <f>SUMIF('Kinera Unit Kerja'!$B$4:$B$20,'perhitungan individu'!$G178,'Kinera Unit Kerja'!$G$4:$G$20)*Index!$E$10</f>
        <v>0</v>
      </c>
      <c r="Q178" s="44">
        <f>I178*Index!$E$11</f>
        <v>0</v>
      </c>
      <c r="R178" s="47">
        <f t="shared" si="5"/>
        <v>0</v>
      </c>
      <c r="S178" s="48">
        <f t="shared" si="4"/>
        <v>0</v>
      </c>
    </row>
    <row r="179" spans="1:19">
      <c r="A179" s="42"/>
      <c r="B179" s="33"/>
      <c r="C179" s="33"/>
      <c r="D179" s="43"/>
      <c r="E179" s="33"/>
      <c r="F179" s="33"/>
      <c r="G179" s="33"/>
      <c r="H179" s="33"/>
      <c r="I179" s="33"/>
      <c r="J179" s="44">
        <f>(D179/100000)*Index!$E$4</f>
        <v>0</v>
      </c>
      <c r="K179" s="44">
        <f>SUMIF(Index!$C$15:$C$40,'perhitungan individu'!E179,Index!$D$15:$D$40)*Index!$E$5</f>
        <v>0</v>
      </c>
      <c r="L179" s="44">
        <f>SUMIF(Index!$E$15:$E$40,'perhitungan individu'!F179,Index!F$15:F$40)*Index!$E$6</f>
        <v>0</v>
      </c>
      <c r="M179" s="44">
        <f>SUMIF(Index!$H$15:$H$40,'perhitungan individu'!$G179,Index!$I$15:$I$40)*Index!$E$7</f>
        <v>0</v>
      </c>
      <c r="N179" s="44">
        <f>SUMIF(Index!$K$15:$K$40,'perhitungan individu'!$G179,Index!$L$15:$L$40)*Index!$E$8</f>
        <v>0</v>
      </c>
      <c r="O179" s="44">
        <f>SUMIF(Index!$M$15:$M$40,'perhitungan individu'!H179,Index!$N$15:$N$40)*Index!$E$9</f>
        <v>0</v>
      </c>
      <c r="P179" s="44">
        <f>SUMIF('Kinera Unit Kerja'!$B$4:$B$20,'perhitungan individu'!$G179,'Kinera Unit Kerja'!$G$4:$G$20)*Index!$E$10</f>
        <v>0</v>
      </c>
      <c r="Q179" s="44">
        <f>I179*Index!$E$11</f>
        <v>0</v>
      </c>
      <c r="R179" s="47">
        <f t="shared" si="5"/>
        <v>0</v>
      </c>
      <c r="S179" s="48">
        <f t="shared" si="4"/>
        <v>0</v>
      </c>
    </row>
    <row r="180" spans="1:19">
      <c r="A180" s="42"/>
      <c r="B180" s="33"/>
      <c r="C180" s="33"/>
      <c r="D180" s="43"/>
      <c r="E180" s="33"/>
      <c r="F180" s="33"/>
      <c r="G180" s="33"/>
      <c r="H180" s="33"/>
      <c r="I180" s="33"/>
      <c r="J180" s="44">
        <f>(D180/100000)*Index!$E$4</f>
        <v>0</v>
      </c>
      <c r="K180" s="44">
        <f>SUMIF(Index!$C$15:$C$40,'perhitungan individu'!E180,Index!$D$15:$D$40)*Index!$E$5</f>
        <v>0</v>
      </c>
      <c r="L180" s="44">
        <f>SUMIF(Index!$E$15:$E$40,'perhitungan individu'!F180,Index!F$15:F$40)*Index!$E$6</f>
        <v>0</v>
      </c>
      <c r="M180" s="44">
        <f>SUMIF(Index!$H$15:$H$40,'perhitungan individu'!$G180,Index!$I$15:$I$40)*Index!$E$7</f>
        <v>0</v>
      </c>
      <c r="N180" s="44">
        <f>SUMIF(Index!$K$15:$K$40,'perhitungan individu'!$G180,Index!$L$15:$L$40)*Index!$E$8</f>
        <v>0</v>
      </c>
      <c r="O180" s="44">
        <f>SUMIF(Index!$M$15:$M$40,'perhitungan individu'!H180,Index!$N$15:$N$40)*Index!$E$9</f>
        <v>0</v>
      </c>
      <c r="P180" s="44">
        <f>SUMIF('Kinera Unit Kerja'!$B$4:$B$20,'perhitungan individu'!$G180,'Kinera Unit Kerja'!$G$4:$G$20)*Index!$E$10</f>
        <v>0</v>
      </c>
      <c r="Q180" s="44">
        <f>I180*Index!$E$11</f>
        <v>0</v>
      </c>
      <c r="R180" s="47">
        <f t="shared" si="5"/>
        <v>0</v>
      </c>
      <c r="S180" s="48">
        <f t="shared" si="4"/>
        <v>0</v>
      </c>
    </row>
    <row r="181" spans="1:19">
      <c r="A181" s="42"/>
      <c r="B181" s="33"/>
      <c r="C181" s="33"/>
      <c r="D181" s="43"/>
      <c r="E181" s="33"/>
      <c r="F181" s="33"/>
      <c r="G181" s="33"/>
      <c r="H181" s="33"/>
      <c r="I181" s="33"/>
      <c r="J181" s="44">
        <f>(D181/100000)*Index!$E$4</f>
        <v>0</v>
      </c>
      <c r="K181" s="44">
        <f>SUMIF(Index!$C$15:$C$40,'perhitungan individu'!E181,Index!$D$15:$D$40)*Index!$E$5</f>
        <v>0</v>
      </c>
      <c r="L181" s="44">
        <f>SUMIF(Index!$E$15:$E$40,'perhitungan individu'!F181,Index!F$15:F$40)*Index!$E$6</f>
        <v>0</v>
      </c>
      <c r="M181" s="44">
        <f>SUMIF(Index!$H$15:$H$40,'perhitungan individu'!$G181,Index!$I$15:$I$40)*Index!$E$7</f>
        <v>0</v>
      </c>
      <c r="N181" s="44">
        <f>SUMIF(Index!$K$15:$K$40,'perhitungan individu'!$G181,Index!$L$15:$L$40)*Index!$E$8</f>
        <v>0</v>
      </c>
      <c r="O181" s="44">
        <f>SUMIF(Index!$M$15:$M$40,'perhitungan individu'!H181,Index!$N$15:$N$40)*Index!$E$9</f>
        <v>0</v>
      </c>
      <c r="P181" s="44">
        <f>SUMIF('Kinera Unit Kerja'!$B$4:$B$20,'perhitungan individu'!$G181,'Kinera Unit Kerja'!$G$4:$G$20)*Index!$E$10</f>
        <v>0</v>
      </c>
      <c r="Q181" s="44">
        <f>I181*Index!$E$11</f>
        <v>0</v>
      </c>
      <c r="R181" s="47">
        <f t="shared" si="5"/>
        <v>0</v>
      </c>
      <c r="S181" s="48">
        <f t="shared" si="4"/>
        <v>0</v>
      </c>
    </row>
    <row r="182" spans="1:19">
      <c r="A182" s="42"/>
      <c r="B182" s="33"/>
      <c r="C182" s="33"/>
      <c r="D182" s="43"/>
      <c r="E182" s="33"/>
      <c r="F182" s="33"/>
      <c r="G182" s="33"/>
      <c r="H182" s="33"/>
      <c r="I182" s="33"/>
      <c r="J182" s="44">
        <f>(D182/100000)*Index!$E$4</f>
        <v>0</v>
      </c>
      <c r="K182" s="44">
        <f>SUMIF(Index!$C$15:$C$40,'perhitungan individu'!E182,Index!$D$15:$D$40)*Index!$E$5</f>
        <v>0</v>
      </c>
      <c r="L182" s="44">
        <f>SUMIF(Index!$E$15:$E$40,'perhitungan individu'!F182,Index!F$15:F$40)*Index!$E$6</f>
        <v>0</v>
      </c>
      <c r="M182" s="44">
        <f>SUMIF(Index!$H$15:$H$40,'perhitungan individu'!$G182,Index!$I$15:$I$40)*Index!$E$7</f>
        <v>0</v>
      </c>
      <c r="N182" s="44">
        <f>SUMIF(Index!$K$15:$K$40,'perhitungan individu'!$G182,Index!$L$15:$L$40)*Index!$E$8</f>
        <v>0</v>
      </c>
      <c r="O182" s="44">
        <f>SUMIF(Index!$M$15:$M$40,'perhitungan individu'!H182,Index!$N$15:$N$40)*Index!$E$9</f>
        <v>0</v>
      </c>
      <c r="P182" s="44">
        <f>SUMIF('Kinera Unit Kerja'!$B$4:$B$20,'perhitungan individu'!$G182,'Kinera Unit Kerja'!$G$4:$G$20)*Index!$E$10</f>
        <v>0</v>
      </c>
      <c r="Q182" s="44">
        <f>I182*Index!$E$11</f>
        <v>0</v>
      </c>
      <c r="R182" s="47">
        <f t="shared" si="5"/>
        <v>0</v>
      </c>
      <c r="S182" s="48">
        <f t="shared" si="4"/>
        <v>0</v>
      </c>
    </row>
    <row r="183" spans="1:19">
      <c r="A183" s="42"/>
      <c r="B183" s="33"/>
      <c r="C183" s="33"/>
      <c r="D183" s="43"/>
      <c r="E183" s="33"/>
      <c r="F183" s="33"/>
      <c r="G183" s="33"/>
      <c r="H183" s="33"/>
      <c r="I183" s="33"/>
      <c r="J183" s="44">
        <f>(D183/100000)*Index!$E$4</f>
        <v>0</v>
      </c>
      <c r="K183" s="44">
        <f>SUMIF(Index!$C$15:$C$40,'perhitungan individu'!E183,Index!$D$15:$D$40)*Index!$E$5</f>
        <v>0</v>
      </c>
      <c r="L183" s="44">
        <f>SUMIF(Index!$E$15:$E$40,'perhitungan individu'!F183,Index!F$15:F$40)*Index!$E$6</f>
        <v>0</v>
      </c>
      <c r="M183" s="44">
        <f>SUMIF(Index!$H$15:$H$40,'perhitungan individu'!$G183,Index!$I$15:$I$40)*Index!$E$7</f>
        <v>0</v>
      </c>
      <c r="N183" s="44">
        <f>SUMIF(Index!$K$15:$K$40,'perhitungan individu'!$G183,Index!$L$15:$L$40)*Index!$E$8</f>
        <v>0</v>
      </c>
      <c r="O183" s="44">
        <f>SUMIF(Index!$M$15:$M$40,'perhitungan individu'!H183,Index!$N$15:$N$40)*Index!$E$9</f>
        <v>0</v>
      </c>
      <c r="P183" s="44">
        <f>SUMIF('Kinera Unit Kerja'!$B$4:$B$20,'perhitungan individu'!$G183,'Kinera Unit Kerja'!$G$4:$G$20)*Index!$E$10</f>
        <v>0</v>
      </c>
      <c r="Q183" s="44">
        <f>I183*Index!$E$11</f>
        <v>0</v>
      </c>
      <c r="R183" s="47">
        <f t="shared" si="5"/>
        <v>0</v>
      </c>
      <c r="S183" s="48">
        <f t="shared" si="4"/>
        <v>0</v>
      </c>
    </row>
    <row r="184" spans="1:19">
      <c r="A184" s="42"/>
      <c r="B184" s="33"/>
      <c r="C184" s="33"/>
      <c r="D184" s="43"/>
      <c r="E184" s="33"/>
      <c r="F184" s="33"/>
      <c r="G184" s="33"/>
      <c r="H184" s="33"/>
      <c r="I184" s="33"/>
      <c r="J184" s="44">
        <f>(D184/100000)*Index!$E$4</f>
        <v>0</v>
      </c>
      <c r="K184" s="44">
        <f>SUMIF(Index!$C$15:$C$40,'perhitungan individu'!E184,Index!$D$15:$D$40)*Index!$E$5</f>
        <v>0</v>
      </c>
      <c r="L184" s="44">
        <f>SUMIF(Index!$E$15:$E$40,'perhitungan individu'!F184,Index!F$15:F$40)*Index!$E$6</f>
        <v>0</v>
      </c>
      <c r="M184" s="44">
        <f>SUMIF(Index!$H$15:$H$40,'perhitungan individu'!$G184,Index!$I$15:$I$40)*Index!$E$7</f>
        <v>0</v>
      </c>
      <c r="N184" s="44">
        <f>SUMIF(Index!$K$15:$K$40,'perhitungan individu'!$G184,Index!$L$15:$L$40)*Index!$E$8</f>
        <v>0</v>
      </c>
      <c r="O184" s="44">
        <f>SUMIF(Index!$M$15:$M$40,'perhitungan individu'!H184,Index!$N$15:$N$40)*Index!$E$9</f>
        <v>0</v>
      </c>
      <c r="P184" s="44">
        <f>SUMIF('Kinera Unit Kerja'!$B$4:$B$20,'perhitungan individu'!$G184,'Kinera Unit Kerja'!$G$4:$G$20)*Index!$E$10</f>
        <v>0</v>
      </c>
      <c r="Q184" s="44">
        <f>I184*Index!$E$11</f>
        <v>0</v>
      </c>
      <c r="R184" s="47">
        <f t="shared" si="5"/>
        <v>0</v>
      </c>
      <c r="S184" s="48">
        <f t="shared" si="4"/>
        <v>0</v>
      </c>
    </row>
    <row r="185" spans="1:19">
      <c r="A185" s="42"/>
      <c r="B185" s="33"/>
      <c r="C185" s="33"/>
      <c r="D185" s="43"/>
      <c r="E185" s="33"/>
      <c r="F185" s="33"/>
      <c r="G185" s="33"/>
      <c r="H185" s="33"/>
      <c r="I185" s="33"/>
      <c r="J185" s="44">
        <f>(D185/100000)*Index!$E$4</f>
        <v>0</v>
      </c>
      <c r="K185" s="44">
        <f>SUMIF(Index!$C$15:$C$40,'perhitungan individu'!E185,Index!$D$15:$D$40)*Index!$E$5</f>
        <v>0</v>
      </c>
      <c r="L185" s="44">
        <f>SUMIF(Index!$E$15:$E$40,'perhitungan individu'!F185,Index!F$15:F$40)*Index!$E$6</f>
        <v>0</v>
      </c>
      <c r="M185" s="44">
        <f>SUMIF(Index!$H$15:$H$40,'perhitungan individu'!$G185,Index!$I$15:$I$40)*Index!$E$7</f>
        <v>0</v>
      </c>
      <c r="N185" s="44">
        <f>SUMIF(Index!$K$15:$K$40,'perhitungan individu'!$G185,Index!$L$15:$L$40)*Index!$E$8</f>
        <v>0</v>
      </c>
      <c r="O185" s="44">
        <f>SUMIF(Index!$M$15:$M$40,'perhitungan individu'!H185,Index!$N$15:$N$40)*Index!$E$9</f>
        <v>0</v>
      </c>
      <c r="P185" s="44">
        <f>SUMIF('Kinera Unit Kerja'!$B$4:$B$20,'perhitungan individu'!$G185,'Kinera Unit Kerja'!$G$4:$G$20)*Index!$E$10</f>
        <v>0</v>
      </c>
      <c r="Q185" s="44">
        <f>I185*Index!$E$11</f>
        <v>0</v>
      </c>
      <c r="R185" s="47">
        <f t="shared" si="5"/>
        <v>0</v>
      </c>
      <c r="S185" s="48">
        <f t="shared" si="4"/>
        <v>0</v>
      </c>
    </row>
    <row r="186" spans="1:19">
      <c r="A186" s="42"/>
      <c r="B186" s="33"/>
      <c r="C186" s="33"/>
      <c r="D186" s="43"/>
      <c r="E186" s="33"/>
      <c r="F186" s="33"/>
      <c r="G186" s="33"/>
      <c r="H186" s="33"/>
      <c r="I186" s="33"/>
      <c r="J186" s="44">
        <f>(D186/100000)*Index!$E$4</f>
        <v>0</v>
      </c>
      <c r="K186" s="44">
        <f>SUMIF(Index!$C$15:$C$40,'perhitungan individu'!E186,Index!$D$15:$D$40)*Index!$E$5</f>
        <v>0</v>
      </c>
      <c r="L186" s="44">
        <f>SUMIF(Index!$E$15:$E$40,'perhitungan individu'!F186,Index!F$15:F$40)*Index!$E$6</f>
        <v>0</v>
      </c>
      <c r="M186" s="44">
        <f>SUMIF(Index!$H$15:$H$40,'perhitungan individu'!$G186,Index!$I$15:$I$40)*Index!$E$7</f>
        <v>0</v>
      </c>
      <c r="N186" s="44">
        <f>SUMIF(Index!$K$15:$K$40,'perhitungan individu'!$G186,Index!$L$15:$L$40)*Index!$E$8</f>
        <v>0</v>
      </c>
      <c r="O186" s="44">
        <f>SUMIF(Index!$M$15:$M$40,'perhitungan individu'!H186,Index!$N$15:$N$40)*Index!$E$9</f>
        <v>0</v>
      </c>
      <c r="P186" s="44">
        <f>SUMIF('Kinera Unit Kerja'!$B$4:$B$20,'perhitungan individu'!$G186,'Kinera Unit Kerja'!$G$4:$G$20)*Index!$E$10</f>
        <v>0</v>
      </c>
      <c r="Q186" s="44">
        <f>I186*Index!$E$11</f>
        <v>0</v>
      </c>
      <c r="R186" s="47">
        <f t="shared" si="5"/>
        <v>0</v>
      </c>
      <c r="S186" s="48">
        <f t="shared" si="4"/>
        <v>0</v>
      </c>
    </row>
    <row r="187" spans="1:19">
      <c r="A187" s="42"/>
      <c r="B187" s="33"/>
      <c r="C187" s="33"/>
      <c r="D187" s="43"/>
      <c r="E187" s="33"/>
      <c r="F187" s="33"/>
      <c r="G187" s="33"/>
      <c r="H187" s="33"/>
      <c r="I187" s="33"/>
      <c r="J187" s="44">
        <f>(D187/100000)*Index!$E$4</f>
        <v>0</v>
      </c>
      <c r="K187" s="44">
        <f>SUMIF(Index!$C$15:$C$40,'perhitungan individu'!E187,Index!$D$15:$D$40)*Index!$E$5</f>
        <v>0</v>
      </c>
      <c r="L187" s="44">
        <f>SUMIF(Index!$E$15:$E$40,'perhitungan individu'!F187,Index!F$15:F$40)*Index!$E$6</f>
        <v>0</v>
      </c>
      <c r="M187" s="44">
        <f>SUMIF(Index!$H$15:$H$40,'perhitungan individu'!$G187,Index!$I$15:$I$40)*Index!$E$7</f>
        <v>0</v>
      </c>
      <c r="N187" s="44">
        <f>SUMIF(Index!$K$15:$K$40,'perhitungan individu'!$G187,Index!$L$15:$L$40)*Index!$E$8</f>
        <v>0</v>
      </c>
      <c r="O187" s="44">
        <f>SUMIF(Index!$M$15:$M$40,'perhitungan individu'!H187,Index!$N$15:$N$40)*Index!$E$9</f>
        <v>0</v>
      </c>
      <c r="P187" s="44">
        <f>SUMIF('Kinera Unit Kerja'!$B$4:$B$20,'perhitungan individu'!$G187,'Kinera Unit Kerja'!$G$4:$G$20)*Index!$E$10</f>
        <v>0</v>
      </c>
      <c r="Q187" s="44">
        <f>I187*Index!$E$11</f>
        <v>0</v>
      </c>
      <c r="R187" s="47">
        <f t="shared" si="5"/>
        <v>0</v>
      </c>
      <c r="S187" s="48">
        <f t="shared" si="4"/>
        <v>0</v>
      </c>
    </row>
    <row r="188" spans="1:19">
      <c r="A188" s="42"/>
      <c r="B188" s="33"/>
      <c r="C188" s="33"/>
      <c r="D188" s="43"/>
      <c r="E188" s="33"/>
      <c r="F188" s="33"/>
      <c r="G188" s="33"/>
      <c r="H188" s="33"/>
      <c r="I188" s="33"/>
      <c r="J188" s="44">
        <f>(D188/100000)*Index!$E$4</f>
        <v>0</v>
      </c>
      <c r="K188" s="44">
        <f>SUMIF(Index!$C$15:$C$40,'perhitungan individu'!E188,Index!$D$15:$D$40)*Index!$E$5</f>
        <v>0</v>
      </c>
      <c r="L188" s="44">
        <f>SUMIF(Index!$E$15:$E$40,'perhitungan individu'!F188,Index!F$15:F$40)*Index!$E$6</f>
        <v>0</v>
      </c>
      <c r="M188" s="44">
        <f>SUMIF(Index!$H$15:$H$40,'perhitungan individu'!$G188,Index!$I$15:$I$40)*Index!$E$7</f>
        <v>0</v>
      </c>
      <c r="N188" s="44">
        <f>SUMIF(Index!$K$15:$K$40,'perhitungan individu'!$G188,Index!$L$15:$L$40)*Index!$E$8</f>
        <v>0</v>
      </c>
      <c r="O188" s="44">
        <f>SUMIF(Index!$M$15:$M$40,'perhitungan individu'!H188,Index!$N$15:$N$40)*Index!$E$9</f>
        <v>0</v>
      </c>
      <c r="P188" s="44">
        <f>SUMIF('Kinera Unit Kerja'!$B$4:$B$20,'perhitungan individu'!$G188,'Kinera Unit Kerja'!$G$4:$G$20)*Index!$E$10</f>
        <v>0</v>
      </c>
      <c r="Q188" s="44">
        <f>I188*Index!$E$11</f>
        <v>0</v>
      </c>
      <c r="R188" s="47">
        <f t="shared" si="5"/>
        <v>0</v>
      </c>
      <c r="S188" s="48">
        <f t="shared" si="4"/>
        <v>0</v>
      </c>
    </row>
    <row r="189" spans="1:19">
      <c r="A189" s="42"/>
      <c r="B189" s="33"/>
      <c r="C189" s="33"/>
      <c r="D189" s="43"/>
      <c r="E189" s="33"/>
      <c r="F189" s="33"/>
      <c r="G189" s="33"/>
      <c r="H189" s="33"/>
      <c r="I189" s="33"/>
      <c r="J189" s="44">
        <f>(D189/100000)*Index!$E$4</f>
        <v>0</v>
      </c>
      <c r="K189" s="44">
        <f>SUMIF(Index!$C$15:$C$40,'perhitungan individu'!E189,Index!$D$15:$D$40)*Index!$E$5</f>
        <v>0</v>
      </c>
      <c r="L189" s="44">
        <f>SUMIF(Index!$E$15:$E$40,'perhitungan individu'!F189,Index!F$15:F$40)*Index!$E$6</f>
        <v>0</v>
      </c>
      <c r="M189" s="44">
        <f>SUMIF(Index!$H$15:$H$40,'perhitungan individu'!$G189,Index!$I$15:$I$40)*Index!$E$7</f>
        <v>0</v>
      </c>
      <c r="N189" s="44">
        <f>SUMIF(Index!$K$15:$K$40,'perhitungan individu'!$G189,Index!$L$15:$L$40)*Index!$E$8</f>
        <v>0</v>
      </c>
      <c r="O189" s="44">
        <f>SUMIF(Index!$M$15:$M$40,'perhitungan individu'!H189,Index!$N$15:$N$40)*Index!$E$9</f>
        <v>0</v>
      </c>
      <c r="P189" s="44">
        <f>SUMIF('Kinera Unit Kerja'!$B$4:$B$20,'perhitungan individu'!$G189,'Kinera Unit Kerja'!$G$4:$G$20)*Index!$E$10</f>
        <v>0</v>
      </c>
      <c r="Q189" s="44">
        <f>I189*Index!$E$11</f>
        <v>0</v>
      </c>
      <c r="R189" s="47">
        <f t="shared" si="5"/>
        <v>0</v>
      </c>
      <c r="S189" s="48">
        <f t="shared" si="4"/>
        <v>0</v>
      </c>
    </row>
    <row r="190" spans="1:19">
      <c r="A190" s="42"/>
      <c r="B190" s="33"/>
      <c r="C190" s="33"/>
      <c r="D190" s="43"/>
      <c r="E190" s="33"/>
      <c r="F190" s="33"/>
      <c r="G190" s="33"/>
      <c r="H190" s="33"/>
      <c r="I190" s="33"/>
      <c r="J190" s="44">
        <f>(D190/100000)*Index!$E$4</f>
        <v>0</v>
      </c>
      <c r="K190" s="44">
        <f>SUMIF(Index!$C$15:$C$40,'perhitungan individu'!E190,Index!$D$15:$D$40)*Index!$E$5</f>
        <v>0</v>
      </c>
      <c r="L190" s="44">
        <f>SUMIF(Index!$E$15:$E$40,'perhitungan individu'!F190,Index!F$15:F$40)*Index!$E$6</f>
        <v>0</v>
      </c>
      <c r="M190" s="44">
        <f>SUMIF(Index!$H$15:$H$40,'perhitungan individu'!$G190,Index!$I$15:$I$40)*Index!$E$7</f>
        <v>0</v>
      </c>
      <c r="N190" s="44">
        <f>SUMIF(Index!$K$15:$K$40,'perhitungan individu'!$G190,Index!$L$15:$L$40)*Index!$E$8</f>
        <v>0</v>
      </c>
      <c r="O190" s="44">
        <f>SUMIF(Index!$M$15:$M$40,'perhitungan individu'!H190,Index!$N$15:$N$40)*Index!$E$9</f>
        <v>0</v>
      </c>
      <c r="P190" s="44">
        <f>SUMIF('Kinera Unit Kerja'!$B$4:$B$20,'perhitungan individu'!$G190,'Kinera Unit Kerja'!$G$4:$G$20)*Index!$E$10</f>
        <v>0</v>
      </c>
      <c r="Q190" s="44">
        <f>I190*Index!$E$11</f>
        <v>0</v>
      </c>
      <c r="R190" s="47">
        <f t="shared" si="5"/>
        <v>0</v>
      </c>
      <c r="S190" s="48">
        <f t="shared" si="4"/>
        <v>0</v>
      </c>
    </row>
    <row r="191" spans="1:19">
      <c r="A191" s="42"/>
      <c r="B191" s="33"/>
      <c r="C191" s="33"/>
      <c r="D191" s="43"/>
      <c r="E191" s="33"/>
      <c r="F191" s="33"/>
      <c r="G191" s="33"/>
      <c r="H191" s="33"/>
      <c r="I191" s="33"/>
      <c r="J191" s="44">
        <f>(D191/100000)*Index!$E$4</f>
        <v>0</v>
      </c>
      <c r="K191" s="44">
        <f>SUMIF(Index!$C$15:$C$40,'perhitungan individu'!E191,Index!$D$15:$D$40)*Index!$E$5</f>
        <v>0</v>
      </c>
      <c r="L191" s="44">
        <f>SUMIF(Index!$E$15:$E$40,'perhitungan individu'!F191,Index!F$15:F$40)*Index!$E$6</f>
        <v>0</v>
      </c>
      <c r="M191" s="44">
        <f>SUMIF(Index!$H$15:$H$40,'perhitungan individu'!$G191,Index!$I$15:$I$40)*Index!$E$7</f>
        <v>0</v>
      </c>
      <c r="N191" s="44">
        <f>SUMIF(Index!$K$15:$K$40,'perhitungan individu'!$G191,Index!$L$15:$L$40)*Index!$E$8</f>
        <v>0</v>
      </c>
      <c r="O191" s="44">
        <f>SUMIF(Index!$M$15:$M$40,'perhitungan individu'!H191,Index!$N$15:$N$40)*Index!$E$9</f>
        <v>0</v>
      </c>
      <c r="P191" s="44">
        <f>SUMIF('Kinera Unit Kerja'!$B$4:$B$20,'perhitungan individu'!$G191,'Kinera Unit Kerja'!$G$4:$G$20)*Index!$E$10</f>
        <v>0</v>
      </c>
      <c r="Q191" s="44">
        <f>I191*Index!$E$11</f>
        <v>0</v>
      </c>
      <c r="R191" s="47">
        <f t="shared" si="5"/>
        <v>0</v>
      </c>
      <c r="S191" s="48">
        <f t="shared" si="4"/>
        <v>0</v>
      </c>
    </row>
    <row r="192" spans="1:19">
      <c r="A192" s="42"/>
      <c r="B192" s="33"/>
      <c r="C192" s="33"/>
      <c r="D192" s="43"/>
      <c r="E192" s="33"/>
      <c r="F192" s="33"/>
      <c r="G192" s="33"/>
      <c r="H192" s="33"/>
      <c r="I192" s="33"/>
      <c r="J192" s="44">
        <f>(D192/100000)*Index!$E$4</f>
        <v>0</v>
      </c>
      <c r="K192" s="44">
        <f>SUMIF(Index!$C$15:$C$40,'perhitungan individu'!E192,Index!$D$15:$D$40)*Index!$E$5</f>
        <v>0</v>
      </c>
      <c r="L192" s="44">
        <f>SUMIF(Index!$E$15:$E$40,'perhitungan individu'!F192,Index!F$15:F$40)*Index!$E$6</f>
        <v>0</v>
      </c>
      <c r="M192" s="44">
        <f>SUMIF(Index!$H$15:$H$40,'perhitungan individu'!$G192,Index!$I$15:$I$40)*Index!$E$7</f>
        <v>0</v>
      </c>
      <c r="N192" s="44">
        <f>SUMIF(Index!$K$15:$K$40,'perhitungan individu'!$G192,Index!$L$15:$L$40)*Index!$E$8</f>
        <v>0</v>
      </c>
      <c r="O192" s="44">
        <f>SUMIF(Index!$M$15:$M$40,'perhitungan individu'!H192,Index!$N$15:$N$40)*Index!$E$9</f>
        <v>0</v>
      </c>
      <c r="P192" s="44">
        <f>SUMIF('Kinera Unit Kerja'!$B$4:$B$20,'perhitungan individu'!$G192,'Kinera Unit Kerja'!$G$4:$G$20)*Index!$E$10</f>
        <v>0</v>
      </c>
      <c r="Q192" s="44">
        <f>I192*Index!$E$11</f>
        <v>0</v>
      </c>
      <c r="R192" s="47">
        <f t="shared" si="5"/>
        <v>0</v>
      </c>
      <c r="S192" s="48">
        <f t="shared" si="4"/>
        <v>0</v>
      </c>
    </row>
    <row r="193" spans="1:19">
      <c r="A193" s="42"/>
      <c r="B193" s="33"/>
      <c r="C193" s="33"/>
      <c r="D193" s="43"/>
      <c r="E193" s="33"/>
      <c r="F193" s="33"/>
      <c r="G193" s="33"/>
      <c r="H193" s="33"/>
      <c r="I193" s="33"/>
      <c r="J193" s="44">
        <f>(D193/100000)*Index!$E$4</f>
        <v>0</v>
      </c>
      <c r="K193" s="44">
        <f>SUMIF(Index!$C$15:$C$40,'perhitungan individu'!E193,Index!$D$15:$D$40)*Index!$E$5</f>
        <v>0</v>
      </c>
      <c r="L193" s="44">
        <f>SUMIF(Index!$E$15:$E$40,'perhitungan individu'!F193,Index!F$15:F$40)*Index!$E$6</f>
        <v>0</v>
      </c>
      <c r="M193" s="44">
        <f>SUMIF(Index!$H$15:$H$40,'perhitungan individu'!$G193,Index!$I$15:$I$40)*Index!$E$7</f>
        <v>0</v>
      </c>
      <c r="N193" s="44">
        <f>SUMIF(Index!$K$15:$K$40,'perhitungan individu'!$G193,Index!$L$15:$L$40)*Index!$E$8</f>
        <v>0</v>
      </c>
      <c r="O193" s="44">
        <f>SUMIF(Index!$M$15:$M$40,'perhitungan individu'!H193,Index!$N$15:$N$40)*Index!$E$9</f>
        <v>0</v>
      </c>
      <c r="P193" s="44">
        <f>SUMIF('Kinera Unit Kerja'!$B$4:$B$20,'perhitungan individu'!$G193,'Kinera Unit Kerja'!$G$4:$G$20)*Index!$E$10</f>
        <v>0</v>
      </c>
      <c r="Q193" s="44">
        <f>I193*Index!$E$11</f>
        <v>0</v>
      </c>
      <c r="R193" s="47">
        <f t="shared" si="5"/>
        <v>0</v>
      </c>
      <c r="S193" s="48">
        <f t="shared" si="4"/>
        <v>0</v>
      </c>
    </row>
    <row r="194" spans="1:19">
      <c r="A194" s="42"/>
      <c r="B194" s="33"/>
      <c r="C194" s="33"/>
      <c r="D194" s="43"/>
      <c r="E194" s="33"/>
      <c r="F194" s="33"/>
      <c r="G194" s="33"/>
      <c r="H194" s="33"/>
      <c r="I194" s="33"/>
      <c r="J194" s="44">
        <f>(D194/100000)*Index!$E$4</f>
        <v>0</v>
      </c>
      <c r="K194" s="44">
        <f>SUMIF(Index!$C$15:$C$40,'perhitungan individu'!E194,Index!$D$15:$D$40)*Index!$E$5</f>
        <v>0</v>
      </c>
      <c r="L194" s="44">
        <f>SUMIF(Index!$E$15:$E$40,'perhitungan individu'!F194,Index!F$15:F$40)*Index!$E$6</f>
        <v>0</v>
      </c>
      <c r="M194" s="44">
        <f>SUMIF(Index!$H$15:$H$40,'perhitungan individu'!$G194,Index!$I$15:$I$40)*Index!$E$7</f>
        <v>0</v>
      </c>
      <c r="N194" s="44">
        <f>SUMIF(Index!$K$15:$K$40,'perhitungan individu'!$G194,Index!$L$15:$L$40)*Index!$E$8</f>
        <v>0</v>
      </c>
      <c r="O194" s="44">
        <f>SUMIF(Index!$M$15:$M$40,'perhitungan individu'!H194,Index!$N$15:$N$40)*Index!$E$9</f>
        <v>0</v>
      </c>
      <c r="P194" s="44">
        <f>SUMIF('Kinera Unit Kerja'!$B$4:$B$20,'perhitungan individu'!$G194,'Kinera Unit Kerja'!$G$4:$G$20)*Index!$E$10</f>
        <v>0</v>
      </c>
      <c r="Q194" s="44">
        <f>I194*Index!$E$11</f>
        <v>0</v>
      </c>
      <c r="R194" s="47">
        <f t="shared" si="5"/>
        <v>0</v>
      </c>
      <c r="S194" s="48">
        <f t="shared" si="4"/>
        <v>0</v>
      </c>
    </row>
    <row r="195" spans="1:19">
      <c r="A195" s="42"/>
      <c r="B195" s="33"/>
      <c r="C195" s="33"/>
      <c r="D195" s="43"/>
      <c r="E195" s="33"/>
      <c r="F195" s="33"/>
      <c r="G195" s="33"/>
      <c r="H195" s="33"/>
      <c r="I195" s="33"/>
      <c r="J195" s="44">
        <f>(D195/100000)*Index!$E$4</f>
        <v>0</v>
      </c>
      <c r="K195" s="44">
        <f>SUMIF(Index!$C$15:$C$40,'perhitungan individu'!E195,Index!$D$15:$D$40)*Index!$E$5</f>
        <v>0</v>
      </c>
      <c r="L195" s="44">
        <f>SUMIF(Index!$E$15:$E$40,'perhitungan individu'!F195,Index!F$15:F$40)*Index!$E$6</f>
        <v>0</v>
      </c>
      <c r="M195" s="44">
        <f>SUMIF(Index!$H$15:$H$40,'perhitungan individu'!$G195,Index!$I$15:$I$40)*Index!$E$7</f>
        <v>0</v>
      </c>
      <c r="N195" s="44">
        <f>SUMIF(Index!$K$15:$K$40,'perhitungan individu'!$G195,Index!$L$15:$L$40)*Index!$E$8</f>
        <v>0</v>
      </c>
      <c r="O195" s="44">
        <f>SUMIF(Index!$M$15:$M$40,'perhitungan individu'!H195,Index!$N$15:$N$40)*Index!$E$9</f>
        <v>0</v>
      </c>
      <c r="P195" s="44">
        <f>SUMIF('Kinera Unit Kerja'!$B$4:$B$20,'perhitungan individu'!$G195,'Kinera Unit Kerja'!$G$4:$G$20)*Index!$E$10</f>
        <v>0</v>
      </c>
      <c r="Q195" s="44">
        <f>I195*Index!$E$11</f>
        <v>0</v>
      </c>
      <c r="R195" s="47">
        <f t="shared" si="5"/>
        <v>0</v>
      </c>
      <c r="S195" s="48">
        <f t="shared" si="4"/>
        <v>0</v>
      </c>
    </row>
    <row r="196" spans="1:19">
      <c r="A196" s="42"/>
      <c r="B196" s="33"/>
      <c r="C196" s="33"/>
      <c r="D196" s="43"/>
      <c r="E196" s="33"/>
      <c r="F196" s="33"/>
      <c r="G196" s="33"/>
      <c r="H196" s="33"/>
      <c r="I196" s="33"/>
      <c r="J196" s="44">
        <f>(D196/100000)*Index!$E$4</f>
        <v>0</v>
      </c>
      <c r="K196" s="44">
        <f>SUMIF(Index!$C$15:$C$40,'perhitungan individu'!E196,Index!$D$15:$D$40)*Index!$E$5</f>
        <v>0</v>
      </c>
      <c r="L196" s="44">
        <f>SUMIF(Index!$E$15:$E$40,'perhitungan individu'!F196,Index!F$15:F$40)*Index!$E$6</f>
        <v>0</v>
      </c>
      <c r="M196" s="44">
        <f>SUMIF(Index!$H$15:$H$40,'perhitungan individu'!$G196,Index!$I$15:$I$40)*Index!$E$7</f>
        <v>0</v>
      </c>
      <c r="N196" s="44">
        <f>SUMIF(Index!$K$15:$K$40,'perhitungan individu'!$G196,Index!$L$15:$L$40)*Index!$E$8</f>
        <v>0</v>
      </c>
      <c r="O196" s="44">
        <f>SUMIF(Index!$M$15:$M$40,'perhitungan individu'!H196,Index!$N$15:$N$40)*Index!$E$9</f>
        <v>0</v>
      </c>
      <c r="P196" s="44">
        <f>SUMIF('Kinera Unit Kerja'!$B$4:$B$20,'perhitungan individu'!$G196,'Kinera Unit Kerja'!$G$4:$G$20)*Index!$E$10</f>
        <v>0</v>
      </c>
      <c r="Q196" s="44">
        <f>I196*Index!$E$11</f>
        <v>0</v>
      </c>
      <c r="R196" s="47">
        <f t="shared" si="5"/>
        <v>0</v>
      </c>
      <c r="S196" s="48">
        <f t="shared" si="4"/>
        <v>0</v>
      </c>
    </row>
    <row r="197" spans="1:19">
      <c r="A197" s="42"/>
      <c r="B197" s="33"/>
      <c r="C197" s="33"/>
      <c r="D197" s="43"/>
      <c r="E197" s="33"/>
      <c r="F197" s="33"/>
      <c r="G197" s="33"/>
      <c r="H197" s="33"/>
      <c r="I197" s="33"/>
      <c r="J197" s="44">
        <f>(D197/100000)*Index!$E$4</f>
        <v>0</v>
      </c>
      <c r="K197" s="44">
        <f>SUMIF(Index!$C$15:$C$40,'perhitungan individu'!E197,Index!$D$15:$D$40)*Index!$E$5</f>
        <v>0</v>
      </c>
      <c r="L197" s="44">
        <f>SUMIF(Index!$E$15:$E$40,'perhitungan individu'!F197,Index!F$15:F$40)*Index!$E$6</f>
        <v>0</v>
      </c>
      <c r="M197" s="44">
        <f>SUMIF(Index!$H$15:$H$40,'perhitungan individu'!$G197,Index!$I$15:$I$40)*Index!$E$7</f>
        <v>0</v>
      </c>
      <c r="N197" s="44">
        <f>SUMIF(Index!$K$15:$K$40,'perhitungan individu'!$G197,Index!$L$15:$L$40)*Index!$E$8</f>
        <v>0</v>
      </c>
      <c r="O197" s="44">
        <f>SUMIF(Index!$M$15:$M$40,'perhitungan individu'!H197,Index!$N$15:$N$40)*Index!$E$9</f>
        <v>0</v>
      </c>
      <c r="P197" s="44">
        <f>SUMIF('Kinera Unit Kerja'!$B$4:$B$20,'perhitungan individu'!$G197,'Kinera Unit Kerja'!$G$4:$G$20)*Index!$E$10</f>
        <v>0</v>
      </c>
      <c r="Q197" s="44">
        <f>I197*Index!$E$11</f>
        <v>0</v>
      </c>
      <c r="R197" s="47">
        <f t="shared" si="5"/>
        <v>0</v>
      </c>
      <c r="S197" s="48">
        <f t="shared" si="4"/>
        <v>0</v>
      </c>
    </row>
    <row r="198" spans="1:19">
      <c r="A198" s="42"/>
      <c r="B198" s="33"/>
      <c r="C198" s="33"/>
      <c r="D198" s="43"/>
      <c r="E198" s="33"/>
      <c r="F198" s="33"/>
      <c r="G198" s="33"/>
      <c r="H198" s="33"/>
      <c r="I198" s="33"/>
      <c r="J198" s="44">
        <f>(D198/100000)*Index!$E$4</f>
        <v>0</v>
      </c>
      <c r="K198" s="44">
        <f>SUMIF(Index!$C$15:$C$40,'perhitungan individu'!E198,Index!$D$15:$D$40)*Index!$E$5</f>
        <v>0</v>
      </c>
      <c r="L198" s="44">
        <f>SUMIF(Index!$E$15:$E$40,'perhitungan individu'!F198,Index!F$15:F$40)*Index!$E$6</f>
        <v>0</v>
      </c>
      <c r="M198" s="44">
        <f>SUMIF(Index!$H$15:$H$40,'perhitungan individu'!$G198,Index!$I$15:$I$40)*Index!$E$7</f>
        <v>0</v>
      </c>
      <c r="N198" s="44">
        <f>SUMIF(Index!$K$15:$K$40,'perhitungan individu'!$G198,Index!$L$15:$L$40)*Index!$E$8</f>
        <v>0</v>
      </c>
      <c r="O198" s="44">
        <f>SUMIF(Index!$M$15:$M$40,'perhitungan individu'!H198,Index!$N$15:$N$40)*Index!$E$9</f>
        <v>0</v>
      </c>
      <c r="P198" s="44">
        <f>SUMIF('Kinera Unit Kerja'!$B$4:$B$20,'perhitungan individu'!$G198,'Kinera Unit Kerja'!$G$4:$G$20)*Index!$E$10</f>
        <v>0</v>
      </c>
      <c r="Q198" s="44">
        <f>I198*Index!$E$11</f>
        <v>0</v>
      </c>
      <c r="R198" s="47">
        <f t="shared" si="5"/>
        <v>0</v>
      </c>
      <c r="S198" s="48">
        <f t="shared" si="4"/>
        <v>0</v>
      </c>
    </row>
    <row r="199" spans="1:19">
      <c r="A199" s="42"/>
      <c r="B199" s="33"/>
      <c r="C199" s="33"/>
      <c r="D199" s="43"/>
      <c r="E199" s="33"/>
      <c r="F199" s="33"/>
      <c r="G199" s="33"/>
      <c r="H199" s="33"/>
      <c r="I199" s="33"/>
      <c r="J199" s="44">
        <f>(D199/100000)*Index!$E$4</f>
        <v>0</v>
      </c>
      <c r="K199" s="44">
        <f>SUMIF(Index!$C$15:$C$40,'perhitungan individu'!E199,Index!$D$15:$D$40)*Index!$E$5</f>
        <v>0</v>
      </c>
      <c r="L199" s="44">
        <f>SUMIF(Index!$E$15:$E$40,'perhitungan individu'!F199,Index!F$15:F$40)*Index!$E$6</f>
        <v>0</v>
      </c>
      <c r="M199" s="44">
        <f>SUMIF(Index!$H$15:$H$40,'perhitungan individu'!$G199,Index!$I$15:$I$40)*Index!$E$7</f>
        <v>0</v>
      </c>
      <c r="N199" s="44">
        <f>SUMIF(Index!$K$15:$K$40,'perhitungan individu'!$G199,Index!$L$15:$L$40)*Index!$E$8</f>
        <v>0</v>
      </c>
      <c r="O199" s="44">
        <f>SUMIF(Index!$M$15:$M$40,'perhitungan individu'!H199,Index!$N$15:$N$40)*Index!$E$9</f>
        <v>0</v>
      </c>
      <c r="P199" s="44">
        <f>SUMIF('Kinera Unit Kerja'!$B$4:$B$20,'perhitungan individu'!$G199,'Kinera Unit Kerja'!$G$4:$G$20)*Index!$E$10</f>
        <v>0</v>
      </c>
      <c r="Q199" s="44">
        <f>I199*Index!$E$11</f>
        <v>0</v>
      </c>
      <c r="R199" s="47">
        <f t="shared" si="5"/>
        <v>0</v>
      </c>
      <c r="S199" s="48">
        <f t="shared" si="4"/>
        <v>0</v>
      </c>
    </row>
    <row r="200" spans="1:19">
      <c r="A200" s="42"/>
      <c r="B200" s="33"/>
      <c r="C200" s="33"/>
      <c r="D200" s="43"/>
      <c r="E200" s="33"/>
      <c r="F200" s="33"/>
      <c r="G200" s="33"/>
      <c r="H200" s="33"/>
      <c r="I200" s="33"/>
      <c r="J200" s="44">
        <f>(D200/100000)*Index!$E$4</f>
        <v>0</v>
      </c>
      <c r="K200" s="44">
        <f>SUMIF(Index!$C$15:$C$40,'perhitungan individu'!E200,Index!$D$15:$D$40)*Index!$E$5</f>
        <v>0</v>
      </c>
      <c r="L200" s="44">
        <f>SUMIF(Index!$E$15:$E$40,'perhitungan individu'!F200,Index!F$15:F$40)*Index!$E$6</f>
        <v>0</v>
      </c>
      <c r="M200" s="44">
        <f>SUMIF(Index!$H$15:$H$40,'perhitungan individu'!$G200,Index!$I$15:$I$40)*Index!$E$7</f>
        <v>0</v>
      </c>
      <c r="N200" s="44">
        <f>SUMIF(Index!$K$15:$K$40,'perhitungan individu'!$G200,Index!$L$15:$L$40)*Index!$E$8</f>
        <v>0</v>
      </c>
      <c r="O200" s="44">
        <f>SUMIF(Index!$M$15:$M$40,'perhitungan individu'!H200,Index!$N$15:$N$40)*Index!$E$9</f>
        <v>0</v>
      </c>
      <c r="P200" s="44">
        <f>SUMIF('Kinera Unit Kerja'!$B$4:$B$20,'perhitungan individu'!$G200,'Kinera Unit Kerja'!$G$4:$G$20)*Index!$E$10</f>
        <v>0</v>
      </c>
      <c r="Q200" s="44">
        <f>I200*Index!$E$11</f>
        <v>0</v>
      </c>
      <c r="R200" s="47">
        <f t="shared" si="5"/>
        <v>0</v>
      </c>
      <c r="S200" s="48">
        <f t="shared" si="4"/>
        <v>0</v>
      </c>
    </row>
    <row r="201" spans="1:19">
      <c r="A201" s="42"/>
      <c r="B201" s="33"/>
      <c r="C201" s="33"/>
      <c r="D201" s="43"/>
      <c r="E201" s="33"/>
      <c r="F201" s="33"/>
      <c r="G201" s="33"/>
      <c r="H201" s="33"/>
      <c r="I201" s="33"/>
      <c r="J201" s="44">
        <f>(D201/100000)*Index!$E$4</f>
        <v>0</v>
      </c>
      <c r="K201" s="44">
        <f>SUMIF(Index!$C$15:$C$40,'perhitungan individu'!E201,Index!$D$15:$D$40)*Index!$E$5</f>
        <v>0</v>
      </c>
      <c r="L201" s="44">
        <f>SUMIF(Index!$E$15:$E$40,'perhitungan individu'!F201,Index!F$15:F$40)*Index!$E$6</f>
        <v>0</v>
      </c>
      <c r="M201" s="44">
        <f>SUMIF(Index!$H$15:$H$40,'perhitungan individu'!$G201,Index!$I$15:$I$40)*Index!$E$7</f>
        <v>0</v>
      </c>
      <c r="N201" s="44">
        <f>SUMIF(Index!$K$15:$K$40,'perhitungan individu'!$G201,Index!$L$15:$L$40)*Index!$E$8</f>
        <v>0</v>
      </c>
      <c r="O201" s="44">
        <f>SUMIF(Index!$M$15:$M$40,'perhitungan individu'!H201,Index!$N$15:$N$40)*Index!$E$9</f>
        <v>0</v>
      </c>
      <c r="P201" s="44">
        <f>SUMIF('Kinera Unit Kerja'!$B$4:$B$20,'perhitungan individu'!$G201,'Kinera Unit Kerja'!$G$4:$G$20)*Index!$E$10</f>
        <v>0</v>
      </c>
      <c r="Q201" s="44">
        <f>I201*Index!$E$11</f>
        <v>0</v>
      </c>
      <c r="R201" s="47">
        <f t="shared" si="5"/>
        <v>0</v>
      </c>
      <c r="S201" s="48">
        <f t="shared" si="4"/>
        <v>0</v>
      </c>
    </row>
    <row r="202" spans="1:19">
      <c r="A202" s="42"/>
      <c r="B202" s="33"/>
      <c r="C202" s="33"/>
      <c r="D202" s="43"/>
      <c r="E202" s="33"/>
      <c r="F202" s="33"/>
      <c r="G202" s="33"/>
      <c r="H202" s="33"/>
      <c r="I202" s="33"/>
      <c r="J202" s="44">
        <f>(D202/100000)*Index!$E$4</f>
        <v>0</v>
      </c>
      <c r="K202" s="44">
        <f>SUMIF(Index!$C$15:$C$40,'perhitungan individu'!E202,Index!$D$15:$D$40)*Index!$E$5</f>
        <v>0</v>
      </c>
      <c r="L202" s="44">
        <f>SUMIF(Index!$E$15:$E$40,'perhitungan individu'!F202,Index!F$15:F$40)*Index!$E$6</f>
        <v>0</v>
      </c>
      <c r="M202" s="44">
        <f>SUMIF(Index!$H$15:$H$40,'perhitungan individu'!$G202,Index!$I$15:$I$40)*Index!$E$7</f>
        <v>0</v>
      </c>
      <c r="N202" s="44">
        <f>SUMIF(Index!$K$15:$K$40,'perhitungan individu'!$G202,Index!$L$15:$L$40)*Index!$E$8</f>
        <v>0</v>
      </c>
      <c r="O202" s="44">
        <f>SUMIF(Index!$M$15:$M$40,'perhitungan individu'!H202,Index!$N$15:$N$40)*Index!$E$9</f>
        <v>0</v>
      </c>
      <c r="P202" s="44">
        <f>SUMIF('Kinera Unit Kerja'!$B$4:$B$20,'perhitungan individu'!$G202,'Kinera Unit Kerja'!$G$4:$G$20)*Index!$E$10</f>
        <v>0</v>
      </c>
      <c r="Q202" s="44">
        <f>I202*Index!$E$11</f>
        <v>0</v>
      </c>
      <c r="R202" s="47">
        <f t="shared" si="5"/>
        <v>0</v>
      </c>
      <c r="S202" s="48">
        <f t="shared" si="4"/>
        <v>0</v>
      </c>
    </row>
    <row r="203" spans="1:19">
      <c r="A203" s="42"/>
      <c r="B203" s="33"/>
      <c r="C203" s="33"/>
      <c r="D203" s="43"/>
      <c r="E203" s="33"/>
      <c r="F203" s="33"/>
      <c r="G203" s="33"/>
      <c r="H203" s="33"/>
      <c r="I203" s="33"/>
      <c r="J203" s="44">
        <f>(D203/100000)*Index!$E$4</f>
        <v>0</v>
      </c>
      <c r="K203" s="44">
        <f>SUMIF(Index!$C$15:$C$40,'perhitungan individu'!E203,Index!$D$15:$D$40)*Index!$E$5</f>
        <v>0</v>
      </c>
      <c r="L203" s="44">
        <f>SUMIF(Index!$E$15:$E$40,'perhitungan individu'!F203,Index!F$15:F$40)*Index!$E$6</f>
        <v>0</v>
      </c>
      <c r="M203" s="44">
        <f>SUMIF(Index!$H$15:$H$40,'perhitungan individu'!$G203,Index!$I$15:$I$40)*Index!$E$7</f>
        <v>0</v>
      </c>
      <c r="N203" s="44">
        <f>SUMIF(Index!$K$15:$K$40,'perhitungan individu'!$G203,Index!$L$15:$L$40)*Index!$E$8</f>
        <v>0</v>
      </c>
      <c r="O203" s="44">
        <f>SUMIF(Index!$M$15:$M$40,'perhitungan individu'!H203,Index!$N$15:$N$40)*Index!$E$9</f>
        <v>0</v>
      </c>
      <c r="P203" s="44">
        <f>SUMIF('Kinera Unit Kerja'!$B$4:$B$20,'perhitungan individu'!$G203,'Kinera Unit Kerja'!$G$4:$G$20)*Index!$E$10</f>
        <v>0</v>
      </c>
      <c r="Q203" s="44">
        <f>I203*Index!$E$11</f>
        <v>0</v>
      </c>
      <c r="R203" s="47">
        <f t="shared" si="5"/>
        <v>0</v>
      </c>
      <c r="S203" s="48">
        <f t="shared" si="4"/>
        <v>0</v>
      </c>
    </row>
    <row r="204" spans="1:19">
      <c r="A204" s="42"/>
      <c r="B204" s="33"/>
      <c r="C204" s="33"/>
      <c r="D204" s="43"/>
      <c r="E204" s="33"/>
      <c r="F204" s="33"/>
      <c r="G204" s="33"/>
      <c r="H204" s="33"/>
      <c r="I204" s="33"/>
      <c r="J204" s="44">
        <f>(D204/100000)*Index!$E$4</f>
        <v>0</v>
      </c>
      <c r="K204" s="44">
        <f>SUMIF(Index!$C$15:$C$40,'perhitungan individu'!E204,Index!$D$15:$D$40)*Index!$E$5</f>
        <v>0</v>
      </c>
      <c r="L204" s="44">
        <f>SUMIF(Index!$E$15:$E$40,'perhitungan individu'!F204,Index!F$15:F$40)*Index!$E$6</f>
        <v>0</v>
      </c>
      <c r="M204" s="44">
        <f>SUMIF(Index!$H$15:$H$40,'perhitungan individu'!$G204,Index!$I$15:$I$40)*Index!$E$7</f>
        <v>0</v>
      </c>
      <c r="N204" s="44">
        <f>SUMIF(Index!$K$15:$K$40,'perhitungan individu'!$G204,Index!$L$15:$L$40)*Index!$E$8</f>
        <v>0</v>
      </c>
      <c r="O204" s="44">
        <f>SUMIF(Index!$M$15:$M$40,'perhitungan individu'!H204,Index!$N$15:$N$40)*Index!$E$9</f>
        <v>0</v>
      </c>
      <c r="P204" s="44">
        <f>SUMIF('Kinera Unit Kerja'!$B$4:$B$20,'perhitungan individu'!$G204,'Kinera Unit Kerja'!$G$4:$G$20)*Index!$E$10</f>
        <v>0</v>
      </c>
      <c r="Q204" s="44">
        <f>I204*Index!$E$11</f>
        <v>0</v>
      </c>
      <c r="R204" s="47">
        <f t="shared" si="5"/>
        <v>0</v>
      </c>
      <c r="S204" s="48">
        <f t="shared" si="4"/>
        <v>0</v>
      </c>
    </row>
    <row r="205" spans="1:19">
      <c r="A205" s="42"/>
      <c r="B205" s="33"/>
      <c r="C205" s="33"/>
      <c r="D205" s="43"/>
      <c r="E205" s="33"/>
      <c r="F205" s="33"/>
      <c r="G205" s="33"/>
      <c r="H205" s="33"/>
      <c r="I205" s="33"/>
      <c r="J205" s="44">
        <f>(D205/100000)*Index!$E$4</f>
        <v>0</v>
      </c>
      <c r="K205" s="44">
        <f>SUMIF(Index!$C$15:$C$40,'perhitungan individu'!E205,Index!$D$15:$D$40)*Index!$E$5</f>
        <v>0</v>
      </c>
      <c r="L205" s="44">
        <f>SUMIF(Index!$E$15:$E$40,'perhitungan individu'!F205,Index!F$15:F$40)*Index!$E$6</f>
        <v>0</v>
      </c>
      <c r="M205" s="44">
        <f>SUMIF(Index!$H$15:$H$40,'perhitungan individu'!$G205,Index!$I$15:$I$40)*Index!$E$7</f>
        <v>0</v>
      </c>
      <c r="N205" s="44">
        <f>SUMIF(Index!$K$15:$K$40,'perhitungan individu'!$G205,Index!$L$15:$L$40)*Index!$E$8</f>
        <v>0</v>
      </c>
      <c r="O205" s="44">
        <f>SUMIF(Index!$M$15:$M$40,'perhitungan individu'!H205,Index!$N$15:$N$40)*Index!$E$9</f>
        <v>0</v>
      </c>
      <c r="P205" s="44">
        <f>SUMIF('Kinera Unit Kerja'!$B$4:$B$20,'perhitungan individu'!$G205,'Kinera Unit Kerja'!$G$4:$G$20)*Index!$E$10</f>
        <v>0</v>
      </c>
      <c r="Q205" s="44">
        <f>I205*Index!$E$11</f>
        <v>0</v>
      </c>
      <c r="R205" s="47">
        <f t="shared" si="5"/>
        <v>0</v>
      </c>
      <c r="S205" s="48">
        <f t="shared" si="4"/>
        <v>0</v>
      </c>
    </row>
    <row r="206" spans="1:19">
      <c r="A206" s="42"/>
      <c r="B206" s="33"/>
      <c r="C206" s="33"/>
      <c r="D206" s="43"/>
      <c r="E206" s="33"/>
      <c r="F206" s="33"/>
      <c r="G206" s="33"/>
      <c r="H206" s="33"/>
      <c r="I206" s="33"/>
      <c r="J206" s="44">
        <f>(D206/100000)*Index!$E$4</f>
        <v>0</v>
      </c>
      <c r="K206" s="44">
        <f>SUMIF(Index!$C$15:$C$40,'perhitungan individu'!E206,Index!$D$15:$D$40)*Index!$E$5</f>
        <v>0</v>
      </c>
      <c r="L206" s="44">
        <f>SUMIF(Index!$E$15:$E$40,'perhitungan individu'!F206,Index!F$15:F$40)*Index!$E$6</f>
        <v>0</v>
      </c>
      <c r="M206" s="44">
        <f>SUMIF(Index!$H$15:$H$40,'perhitungan individu'!$G206,Index!$I$15:$I$40)*Index!$E$7</f>
        <v>0</v>
      </c>
      <c r="N206" s="44">
        <f>SUMIF(Index!$K$15:$K$40,'perhitungan individu'!$G206,Index!$L$15:$L$40)*Index!$E$8</f>
        <v>0</v>
      </c>
      <c r="O206" s="44">
        <f>SUMIF(Index!$M$15:$M$40,'perhitungan individu'!H206,Index!$N$15:$N$40)*Index!$E$9</f>
        <v>0</v>
      </c>
      <c r="P206" s="44">
        <f>SUMIF('Kinera Unit Kerja'!$B$4:$B$20,'perhitungan individu'!$G206,'Kinera Unit Kerja'!$G$4:$G$20)*Index!$E$10</f>
        <v>0</v>
      </c>
      <c r="Q206" s="44">
        <f>I206*Index!$E$11</f>
        <v>0</v>
      </c>
      <c r="R206" s="47">
        <f t="shared" si="5"/>
        <v>0</v>
      </c>
      <c r="S206" s="48">
        <f t="shared" si="4"/>
        <v>0</v>
      </c>
    </row>
    <row r="207" spans="1:19">
      <c r="A207" s="42"/>
      <c r="B207" s="33"/>
      <c r="C207" s="33"/>
      <c r="D207" s="43"/>
      <c r="E207" s="33"/>
      <c r="F207" s="33"/>
      <c r="G207" s="33"/>
      <c r="H207" s="33"/>
      <c r="I207" s="33"/>
      <c r="J207" s="44">
        <f>(D207/100000)*Index!$E$4</f>
        <v>0</v>
      </c>
      <c r="K207" s="44">
        <f>SUMIF(Index!$C$15:$C$40,'perhitungan individu'!E207,Index!$D$15:$D$40)*Index!$E$5</f>
        <v>0</v>
      </c>
      <c r="L207" s="44">
        <f>SUMIF(Index!$E$15:$E$40,'perhitungan individu'!F207,Index!F$15:F$40)*Index!$E$6</f>
        <v>0</v>
      </c>
      <c r="M207" s="44">
        <f>SUMIF(Index!$H$15:$H$40,'perhitungan individu'!$G207,Index!$I$15:$I$40)*Index!$E$7</f>
        <v>0</v>
      </c>
      <c r="N207" s="44">
        <f>SUMIF(Index!$K$15:$K$40,'perhitungan individu'!$G207,Index!$L$15:$L$40)*Index!$E$8</f>
        <v>0</v>
      </c>
      <c r="O207" s="44">
        <f>SUMIF(Index!$M$15:$M$40,'perhitungan individu'!H207,Index!$N$15:$N$40)*Index!$E$9</f>
        <v>0</v>
      </c>
      <c r="P207" s="44">
        <f>SUMIF('Kinera Unit Kerja'!$B$4:$B$20,'perhitungan individu'!$G207,'Kinera Unit Kerja'!$G$4:$G$20)*Index!$E$10</f>
        <v>0</v>
      </c>
      <c r="Q207" s="44">
        <f>I207*Index!$E$11</f>
        <v>0</v>
      </c>
      <c r="R207" s="47">
        <f t="shared" si="5"/>
        <v>0</v>
      </c>
      <c r="S207" s="48">
        <f t="shared" si="4"/>
        <v>0</v>
      </c>
    </row>
    <row r="208" spans="1:19">
      <c r="A208" s="42"/>
      <c r="B208" s="33"/>
      <c r="C208" s="33"/>
      <c r="D208" s="43"/>
      <c r="E208" s="33"/>
      <c r="F208" s="33"/>
      <c r="G208" s="33"/>
      <c r="H208" s="33"/>
      <c r="I208" s="33"/>
      <c r="J208" s="44">
        <f>(D208/100000)*Index!$E$4</f>
        <v>0</v>
      </c>
      <c r="K208" s="44">
        <f>SUMIF(Index!$C$15:$C$40,'perhitungan individu'!E208,Index!$D$15:$D$40)*Index!$E$5</f>
        <v>0</v>
      </c>
      <c r="L208" s="44">
        <f>SUMIF(Index!$E$15:$E$40,'perhitungan individu'!F208,Index!F$15:F$40)*Index!$E$6</f>
        <v>0</v>
      </c>
      <c r="M208" s="44">
        <f>SUMIF(Index!$H$15:$H$40,'perhitungan individu'!$G208,Index!$I$15:$I$40)*Index!$E$7</f>
        <v>0</v>
      </c>
      <c r="N208" s="44">
        <f>SUMIF(Index!$K$15:$K$40,'perhitungan individu'!$G208,Index!$L$15:$L$40)*Index!$E$8</f>
        <v>0</v>
      </c>
      <c r="O208" s="44">
        <f>SUMIF(Index!$M$15:$M$40,'perhitungan individu'!H208,Index!$N$15:$N$40)*Index!$E$9</f>
        <v>0</v>
      </c>
      <c r="P208" s="44">
        <f>SUMIF('Kinera Unit Kerja'!$B$4:$B$20,'perhitungan individu'!$G208,'Kinera Unit Kerja'!$G$4:$G$20)*Index!$E$10</f>
        <v>0</v>
      </c>
      <c r="Q208" s="44">
        <f>I208*Index!$E$11</f>
        <v>0</v>
      </c>
      <c r="R208" s="47">
        <f t="shared" si="5"/>
        <v>0</v>
      </c>
      <c r="S208" s="48">
        <f t="shared" si="4"/>
        <v>0</v>
      </c>
    </row>
    <row r="209" spans="1:19">
      <c r="A209" s="42"/>
      <c r="B209" s="33"/>
      <c r="C209" s="33"/>
      <c r="D209" s="43"/>
      <c r="E209" s="33"/>
      <c r="F209" s="33"/>
      <c r="G209" s="33"/>
      <c r="H209" s="33"/>
      <c r="I209" s="33"/>
      <c r="J209" s="44">
        <f>(D209/100000)*Index!$E$4</f>
        <v>0</v>
      </c>
      <c r="K209" s="44">
        <f>SUMIF(Index!$C$15:$C$40,'perhitungan individu'!E209,Index!$D$15:$D$40)*Index!$E$5</f>
        <v>0</v>
      </c>
      <c r="L209" s="44">
        <f>SUMIF(Index!$E$15:$E$40,'perhitungan individu'!F209,Index!F$15:F$40)*Index!$E$6</f>
        <v>0</v>
      </c>
      <c r="M209" s="44">
        <f>SUMIF(Index!$H$15:$H$40,'perhitungan individu'!$G209,Index!$I$15:$I$40)*Index!$E$7</f>
        <v>0</v>
      </c>
      <c r="N209" s="44">
        <f>SUMIF(Index!$K$15:$K$40,'perhitungan individu'!$G209,Index!$L$15:$L$40)*Index!$E$8</f>
        <v>0</v>
      </c>
      <c r="O209" s="44">
        <f>SUMIF(Index!$M$15:$M$40,'perhitungan individu'!H209,Index!$N$15:$N$40)*Index!$E$9</f>
        <v>0</v>
      </c>
      <c r="P209" s="44">
        <f>SUMIF('Kinera Unit Kerja'!$B$4:$B$20,'perhitungan individu'!$G209,'Kinera Unit Kerja'!$G$4:$G$20)*Index!$E$10</f>
        <v>0</v>
      </c>
      <c r="Q209" s="44">
        <f>I209*Index!$E$11</f>
        <v>0</v>
      </c>
      <c r="R209" s="47">
        <f t="shared" si="5"/>
        <v>0</v>
      </c>
      <c r="S209" s="48">
        <f t="shared" si="4"/>
        <v>0</v>
      </c>
    </row>
    <row r="210" spans="1:19">
      <c r="A210" s="42"/>
      <c r="B210" s="33"/>
      <c r="C210" s="33"/>
      <c r="D210" s="43"/>
      <c r="E210" s="33"/>
      <c r="F210" s="33"/>
      <c r="G210" s="33"/>
      <c r="H210" s="33"/>
      <c r="I210" s="33"/>
      <c r="J210" s="44">
        <f>(D210/100000)*Index!$E$4</f>
        <v>0</v>
      </c>
      <c r="K210" s="44">
        <f>SUMIF(Index!$C$15:$C$40,'perhitungan individu'!E210,Index!$D$15:$D$40)*Index!$E$5</f>
        <v>0</v>
      </c>
      <c r="L210" s="44">
        <f>SUMIF(Index!$E$15:$E$40,'perhitungan individu'!F210,Index!F$15:F$40)*Index!$E$6</f>
        <v>0</v>
      </c>
      <c r="M210" s="44">
        <f>SUMIF(Index!$H$15:$H$40,'perhitungan individu'!$G210,Index!$I$15:$I$40)*Index!$E$7</f>
        <v>0</v>
      </c>
      <c r="N210" s="44">
        <f>SUMIF(Index!$K$15:$K$40,'perhitungan individu'!$G210,Index!$L$15:$L$40)*Index!$E$8</f>
        <v>0</v>
      </c>
      <c r="O210" s="44">
        <f>SUMIF(Index!$M$15:$M$40,'perhitungan individu'!H210,Index!$N$15:$N$40)*Index!$E$9</f>
        <v>0</v>
      </c>
      <c r="P210" s="44">
        <f>SUMIF('Kinera Unit Kerja'!$B$4:$B$20,'perhitungan individu'!$G210,'Kinera Unit Kerja'!$G$4:$G$20)*Index!$E$10</f>
        <v>0</v>
      </c>
      <c r="Q210" s="44">
        <f>I210*Index!$E$11</f>
        <v>0</v>
      </c>
      <c r="R210" s="47">
        <f t="shared" si="5"/>
        <v>0</v>
      </c>
      <c r="S210" s="48">
        <f t="shared" si="4"/>
        <v>0</v>
      </c>
    </row>
    <row r="211" spans="1:19">
      <c r="A211" s="42"/>
      <c r="B211" s="33"/>
      <c r="C211" s="33"/>
      <c r="D211" s="43"/>
      <c r="E211" s="33"/>
      <c r="F211" s="33"/>
      <c r="G211" s="33"/>
      <c r="H211" s="33"/>
      <c r="I211" s="33"/>
      <c r="J211" s="44">
        <f>(D211/100000)*Index!$E$4</f>
        <v>0</v>
      </c>
      <c r="K211" s="44">
        <f>SUMIF(Index!$C$15:$C$40,'perhitungan individu'!E211,Index!$D$15:$D$40)*Index!$E$5</f>
        <v>0</v>
      </c>
      <c r="L211" s="44">
        <f>SUMIF(Index!$E$15:$E$40,'perhitungan individu'!F211,Index!F$15:F$40)*Index!$E$6</f>
        <v>0</v>
      </c>
      <c r="M211" s="44">
        <f>SUMIF(Index!$H$15:$H$40,'perhitungan individu'!$G211,Index!$I$15:$I$40)*Index!$E$7</f>
        <v>0</v>
      </c>
      <c r="N211" s="44">
        <f>SUMIF(Index!$K$15:$K$40,'perhitungan individu'!$G211,Index!$L$15:$L$40)*Index!$E$8</f>
        <v>0</v>
      </c>
      <c r="O211" s="44">
        <f>SUMIF(Index!$M$15:$M$40,'perhitungan individu'!H211,Index!$N$15:$N$40)*Index!$E$9</f>
        <v>0</v>
      </c>
      <c r="P211" s="44">
        <f>SUMIF('Kinera Unit Kerja'!$B$4:$B$20,'perhitungan individu'!$G211,'Kinera Unit Kerja'!$G$4:$G$20)*Index!$E$10</f>
        <v>0</v>
      </c>
      <c r="Q211" s="44">
        <f>I211*Index!$E$11</f>
        <v>0</v>
      </c>
      <c r="R211" s="47">
        <f t="shared" si="5"/>
        <v>0</v>
      </c>
      <c r="S211" s="48">
        <f t="shared" si="4"/>
        <v>0</v>
      </c>
    </row>
    <row r="212" spans="1:19">
      <c r="A212" s="42"/>
      <c r="B212" s="33"/>
      <c r="C212" s="33"/>
      <c r="D212" s="43"/>
      <c r="E212" s="33"/>
      <c r="F212" s="33"/>
      <c r="G212" s="33"/>
      <c r="H212" s="33"/>
      <c r="I212" s="33"/>
      <c r="J212" s="44">
        <f>(D212/100000)*Index!$E$4</f>
        <v>0</v>
      </c>
      <c r="K212" s="44">
        <f>SUMIF(Index!$C$15:$C$40,'perhitungan individu'!E212,Index!$D$15:$D$40)*Index!$E$5</f>
        <v>0</v>
      </c>
      <c r="L212" s="44">
        <f>SUMIF(Index!$E$15:$E$40,'perhitungan individu'!F212,Index!F$15:F$40)*Index!$E$6</f>
        <v>0</v>
      </c>
      <c r="M212" s="44">
        <f>SUMIF(Index!$H$15:$H$40,'perhitungan individu'!$G212,Index!$I$15:$I$40)*Index!$E$7</f>
        <v>0</v>
      </c>
      <c r="N212" s="44">
        <f>SUMIF(Index!$K$15:$K$40,'perhitungan individu'!$G212,Index!$L$15:$L$40)*Index!$E$8</f>
        <v>0</v>
      </c>
      <c r="O212" s="44">
        <f>SUMIF(Index!$M$15:$M$40,'perhitungan individu'!H212,Index!$N$15:$N$40)*Index!$E$9</f>
        <v>0</v>
      </c>
      <c r="P212" s="44">
        <f>SUMIF('Kinera Unit Kerja'!$B$4:$B$20,'perhitungan individu'!$G212,'Kinera Unit Kerja'!$G$4:$G$20)*Index!$E$10</f>
        <v>0</v>
      </c>
      <c r="Q212" s="44">
        <f>I212*Index!$E$11</f>
        <v>0</v>
      </c>
      <c r="R212" s="47">
        <f t="shared" si="5"/>
        <v>0</v>
      </c>
      <c r="S212" s="48">
        <f t="shared" si="4"/>
        <v>0</v>
      </c>
    </row>
    <row r="213" spans="1:19">
      <c r="A213" s="42"/>
      <c r="B213" s="33"/>
      <c r="C213" s="33"/>
      <c r="D213" s="43"/>
      <c r="E213" s="33"/>
      <c r="F213" s="33"/>
      <c r="G213" s="33"/>
      <c r="H213" s="33"/>
      <c r="I213" s="33"/>
      <c r="J213" s="44">
        <f>(D213/100000)*Index!$E$4</f>
        <v>0</v>
      </c>
      <c r="K213" s="44">
        <f>SUMIF(Index!$C$15:$C$40,'perhitungan individu'!E213,Index!$D$15:$D$40)*Index!$E$5</f>
        <v>0</v>
      </c>
      <c r="L213" s="44">
        <f>SUMIF(Index!$E$15:$E$40,'perhitungan individu'!F213,Index!F$15:F$40)*Index!$E$6</f>
        <v>0</v>
      </c>
      <c r="M213" s="44">
        <f>SUMIF(Index!$H$15:$H$40,'perhitungan individu'!$G213,Index!$I$15:$I$40)*Index!$E$7</f>
        <v>0</v>
      </c>
      <c r="N213" s="44">
        <f>SUMIF(Index!$K$15:$K$40,'perhitungan individu'!$G213,Index!$L$15:$L$40)*Index!$E$8</f>
        <v>0</v>
      </c>
      <c r="O213" s="44">
        <f>SUMIF(Index!$M$15:$M$40,'perhitungan individu'!H213,Index!$N$15:$N$40)*Index!$E$9</f>
        <v>0</v>
      </c>
      <c r="P213" s="44">
        <f>SUMIF('Kinera Unit Kerja'!$B$4:$B$20,'perhitungan individu'!$G213,'Kinera Unit Kerja'!$G$4:$G$20)*Index!$E$10</f>
        <v>0</v>
      </c>
      <c r="Q213" s="44">
        <f>I213*Index!$E$11</f>
        <v>0</v>
      </c>
      <c r="R213" s="47">
        <f t="shared" si="5"/>
        <v>0</v>
      </c>
      <c r="S213" s="48">
        <f t="shared" si="4"/>
        <v>0</v>
      </c>
    </row>
    <row r="214" spans="1:19">
      <c r="A214" s="42"/>
      <c r="B214" s="33"/>
      <c r="C214" s="33"/>
      <c r="D214" s="43"/>
      <c r="E214" s="33"/>
      <c r="F214" s="33"/>
      <c r="G214" s="33"/>
      <c r="H214" s="33"/>
      <c r="I214" s="33"/>
      <c r="J214" s="44">
        <f>(D214/100000)*Index!$E$4</f>
        <v>0</v>
      </c>
      <c r="K214" s="44">
        <f>SUMIF(Index!$C$15:$C$40,'perhitungan individu'!E214,Index!$D$15:$D$40)*Index!$E$5</f>
        <v>0</v>
      </c>
      <c r="L214" s="44">
        <f>SUMIF(Index!$E$15:$E$40,'perhitungan individu'!F214,Index!F$15:F$40)*Index!$E$6</f>
        <v>0</v>
      </c>
      <c r="M214" s="44">
        <f>SUMIF(Index!$H$15:$H$40,'perhitungan individu'!$G214,Index!$I$15:$I$40)*Index!$E$7</f>
        <v>0</v>
      </c>
      <c r="N214" s="44">
        <f>SUMIF(Index!$K$15:$K$40,'perhitungan individu'!$G214,Index!$L$15:$L$40)*Index!$E$8</f>
        <v>0</v>
      </c>
      <c r="O214" s="44">
        <f>SUMIF(Index!$M$15:$M$40,'perhitungan individu'!H214,Index!$N$15:$N$40)*Index!$E$9</f>
        <v>0</v>
      </c>
      <c r="P214" s="44">
        <f>SUMIF('Kinera Unit Kerja'!$B$4:$B$20,'perhitungan individu'!$G214,'Kinera Unit Kerja'!$G$4:$G$20)*Index!$E$10</f>
        <v>0</v>
      </c>
      <c r="Q214" s="44">
        <f>I214*Index!$E$11</f>
        <v>0</v>
      </c>
      <c r="R214" s="47">
        <f t="shared" si="5"/>
        <v>0</v>
      </c>
      <c r="S214" s="48">
        <f t="shared" si="4"/>
        <v>0</v>
      </c>
    </row>
    <row r="215" spans="1:19">
      <c r="A215" s="42"/>
      <c r="B215" s="33"/>
      <c r="C215" s="33"/>
      <c r="D215" s="43"/>
      <c r="E215" s="33"/>
      <c r="F215" s="33"/>
      <c r="G215" s="33"/>
      <c r="H215" s="33"/>
      <c r="I215" s="33"/>
      <c r="J215" s="44">
        <f>(D215/100000)*Index!$E$4</f>
        <v>0</v>
      </c>
      <c r="K215" s="44">
        <f>SUMIF(Index!$C$15:$C$40,'perhitungan individu'!E215,Index!$D$15:$D$40)*Index!$E$5</f>
        <v>0</v>
      </c>
      <c r="L215" s="44">
        <f>SUMIF(Index!$E$15:$E$40,'perhitungan individu'!F215,Index!F$15:F$40)*Index!$E$6</f>
        <v>0</v>
      </c>
      <c r="M215" s="44">
        <f>SUMIF(Index!$H$15:$H$40,'perhitungan individu'!$G215,Index!$I$15:$I$40)*Index!$E$7</f>
        <v>0</v>
      </c>
      <c r="N215" s="44">
        <f>SUMIF(Index!$K$15:$K$40,'perhitungan individu'!$G215,Index!$L$15:$L$40)*Index!$E$8</f>
        <v>0</v>
      </c>
      <c r="O215" s="44">
        <f>SUMIF(Index!$M$15:$M$40,'perhitungan individu'!H215,Index!$N$15:$N$40)*Index!$E$9</f>
        <v>0</v>
      </c>
      <c r="P215" s="44">
        <f>SUMIF('Kinera Unit Kerja'!$B$4:$B$20,'perhitungan individu'!$G215,'Kinera Unit Kerja'!$G$4:$G$20)*Index!$E$10</f>
        <v>0</v>
      </c>
      <c r="Q215" s="44">
        <f>I215*Index!$E$11</f>
        <v>0</v>
      </c>
      <c r="R215" s="47">
        <f t="shared" si="5"/>
        <v>0</v>
      </c>
      <c r="S215" s="48">
        <f t="shared" si="4"/>
        <v>0</v>
      </c>
    </row>
    <row r="216" spans="1:19">
      <c r="A216" s="42"/>
      <c r="B216" s="33"/>
      <c r="C216" s="33"/>
      <c r="D216" s="43"/>
      <c r="E216" s="33"/>
      <c r="F216" s="33"/>
      <c r="G216" s="33"/>
      <c r="H216" s="33"/>
      <c r="I216" s="33"/>
      <c r="J216" s="44">
        <f>(D216/100000)*Index!$E$4</f>
        <v>0</v>
      </c>
      <c r="K216" s="44">
        <f>SUMIF(Index!$C$15:$C$40,'perhitungan individu'!E216,Index!$D$15:$D$40)*Index!$E$5</f>
        <v>0</v>
      </c>
      <c r="L216" s="44">
        <f>SUMIF(Index!$E$15:$E$40,'perhitungan individu'!F216,Index!F$15:F$40)*Index!$E$6</f>
        <v>0</v>
      </c>
      <c r="M216" s="44">
        <f>SUMIF(Index!$H$15:$H$40,'perhitungan individu'!$G216,Index!$I$15:$I$40)*Index!$E$7</f>
        <v>0</v>
      </c>
      <c r="N216" s="44">
        <f>SUMIF(Index!$K$15:$K$40,'perhitungan individu'!$G216,Index!$L$15:$L$40)*Index!$E$8</f>
        <v>0</v>
      </c>
      <c r="O216" s="44">
        <f>SUMIF(Index!$M$15:$M$40,'perhitungan individu'!H216,Index!$N$15:$N$40)*Index!$E$9</f>
        <v>0</v>
      </c>
      <c r="P216" s="44">
        <f>SUMIF('Kinera Unit Kerja'!$B$4:$B$20,'perhitungan individu'!$G216,'Kinera Unit Kerja'!$G$4:$G$20)*Index!$E$10</f>
        <v>0</v>
      </c>
      <c r="Q216" s="44">
        <f>I216*Index!$E$11</f>
        <v>0</v>
      </c>
      <c r="R216" s="47">
        <f t="shared" si="5"/>
        <v>0</v>
      </c>
      <c r="S216" s="48">
        <f t="shared" si="4"/>
        <v>0</v>
      </c>
    </row>
    <row r="217" spans="1:19">
      <c r="A217" s="42"/>
      <c r="B217" s="33"/>
      <c r="C217" s="33"/>
      <c r="D217" s="43"/>
      <c r="E217" s="33"/>
      <c r="F217" s="33"/>
      <c r="G217" s="33"/>
      <c r="H217" s="33"/>
      <c r="I217" s="33"/>
      <c r="J217" s="44">
        <f>(D217/100000)*Index!$E$4</f>
        <v>0</v>
      </c>
      <c r="K217" s="44">
        <f>SUMIF(Index!$C$15:$C$40,'perhitungan individu'!E217,Index!$D$15:$D$40)*Index!$E$5</f>
        <v>0</v>
      </c>
      <c r="L217" s="44">
        <f>SUMIF(Index!$E$15:$E$40,'perhitungan individu'!F217,Index!F$15:F$40)*Index!$E$6</f>
        <v>0</v>
      </c>
      <c r="M217" s="44">
        <f>SUMIF(Index!$H$15:$H$40,'perhitungan individu'!$G217,Index!$I$15:$I$40)*Index!$E$7</f>
        <v>0</v>
      </c>
      <c r="N217" s="44">
        <f>SUMIF(Index!$K$15:$K$40,'perhitungan individu'!$G217,Index!$L$15:$L$40)*Index!$E$8</f>
        <v>0</v>
      </c>
      <c r="O217" s="44">
        <f>SUMIF(Index!$M$15:$M$40,'perhitungan individu'!H217,Index!$N$15:$N$40)*Index!$E$9</f>
        <v>0</v>
      </c>
      <c r="P217" s="44">
        <f>SUMIF('Kinera Unit Kerja'!$B$4:$B$20,'perhitungan individu'!$G217,'Kinera Unit Kerja'!$G$4:$G$20)*Index!$E$10</f>
        <v>0</v>
      </c>
      <c r="Q217" s="44">
        <f>I217*Index!$E$11</f>
        <v>0</v>
      </c>
      <c r="R217" s="47">
        <f t="shared" si="5"/>
        <v>0</v>
      </c>
      <c r="S217" s="48">
        <f t="shared" si="4"/>
        <v>0</v>
      </c>
    </row>
    <row r="218" spans="1:19">
      <c r="A218" s="42"/>
      <c r="B218" s="33"/>
      <c r="C218" s="33"/>
      <c r="D218" s="43"/>
      <c r="E218" s="33"/>
      <c r="F218" s="33"/>
      <c r="G218" s="33"/>
      <c r="H218" s="33"/>
      <c r="I218" s="33"/>
      <c r="J218" s="44">
        <f>(D218/100000)*Index!$E$4</f>
        <v>0</v>
      </c>
      <c r="K218" s="44">
        <f>SUMIF(Index!$C$15:$C$40,'perhitungan individu'!E218,Index!$D$15:$D$40)*Index!$E$5</f>
        <v>0</v>
      </c>
      <c r="L218" s="44">
        <f>SUMIF(Index!$E$15:$E$40,'perhitungan individu'!F218,Index!F$15:F$40)*Index!$E$6</f>
        <v>0</v>
      </c>
      <c r="M218" s="44">
        <f>SUMIF(Index!$H$15:$H$40,'perhitungan individu'!$G218,Index!$I$15:$I$40)*Index!$E$7</f>
        <v>0</v>
      </c>
      <c r="N218" s="44">
        <f>SUMIF(Index!$K$15:$K$40,'perhitungan individu'!$G218,Index!$L$15:$L$40)*Index!$E$8</f>
        <v>0</v>
      </c>
      <c r="O218" s="44">
        <f>SUMIF(Index!$M$15:$M$40,'perhitungan individu'!H218,Index!$N$15:$N$40)*Index!$E$9</f>
        <v>0</v>
      </c>
      <c r="P218" s="44">
        <f>SUMIF('Kinera Unit Kerja'!$B$4:$B$20,'perhitungan individu'!$G218,'Kinera Unit Kerja'!$G$4:$G$20)*Index!$E$10</f>
        <v>0</v>
      </c>
      <c r="Q218" s="44">
        <f>I218*Index!$E$11</f>
        <v>0</v>
      </c>
      <c r="R218" s="47">
        <f t="shared" si="5"/>
        <v>0</v>
      </c>
      <c r="S218" s="48">
        <f t="shared" si="4"/>
        <v>0</v>
      </c>
    </row>
    <row r="219" spans="1:19">
      <c r="A219" s="42"/>
      <c r="B219" s="33"/>
      <c r="C219" s="33"/>
      <c r="D219" s="43"/>
      <c r="E219" s="33"/>
      <c r="F219" s="33"/>
      <c r="G219" s="33"/>
      <c r="H219" s="33"/>
      <c r="I219" s="33"/>
      <c r="J219" s="44">
        <f>(D219/100000)*Index!$E$4</f>
        <v>0</v>
      </c>
      <c r="K219" s="44">
        <f>SUMIF(Index!$C$15:$C$40,'perhitungan individu'!E219,Index!$D$15:$D$40)*Index!$E$5</f>
        <v>0</v>
      </c>
      <c r="L219" s="44">
        <f>SUMIF(Index!$E$15:$E$40,'perhitungan individu'!F219,Index!F$15:F$40)*Index!$E$6</f>
        <v>0</v>
      </c>
      <c r="M219" s="44">
        <f>SUMIF(Index!$H$15:$H$40,'perhitungan individu'!$G219,Index!$I$15:$I$40)*Index!$E$7</f>
        <v>0</v>
      </c>
      <c r="N219" s="44">
        <f>SUMIF(Index!$K$15:$K$40,'perhitungan individu'!$G219,Index!$L$15:$L$40)*Index!$E$8</f>
        <v>0</v>
      </c>
      <c r="O219" s="44">
        <f>SUMIF(Index!$M$15:$M$40,'perhitungan individu'!H219,Index!$N$15:$N$40)*Index!$E$9</f>
        <v>0</v>
      </c>
      <c r="P219" s="44">
        <f>SUMIF('Kinera Unit Kerja'!$B$4:$B$20,'perhitungan individu'!$G219,'Kinera Unit Kerja'!$G$4:$G$20)*Index!$E$10</f>
        <v>0</v>
      </c>
      <c r="Q219" s="44">
        <f>I219*Index!$E$11</f>
        <v>0</v>
      </c>
      <c r="R219" s="47">
        <f t="shared" si="5"/>
        <v>0</v>
      </c>
      <c r="S219" s="48">
        <f t="shared" si="4"/>
        <v>0</v>
      </c>
    </row>
    <row r="220" spans="1:19">
      <c r="A220" s="42"/>
      <c r="B220" s="33"/>
      <c r="C220" s="33"/>
      <c r="D220" s="43"/>
      <c r="E220" s="33"/>
      <c r="F220" s="33"/>
      <c r="G220" s="33"/>
      <c r="H220" s="33"/>
      <c r="I220" s="33"/>
      <c r="J220" s="44">
        <f>(D220/100000)*Index!$E$4</f>
        <v>0</v>
      </c>
      <c r="K220" s="44">
        <f>SUMIF(Index!$C$15:$C$40,'perhitungan individu'!E220,Index!$D$15:$D$40)*Index!$E$5</f>
        <v>0</v>
      </c>
      <c r="L220" s="44">
        <f>SUMIF(Index!$E$15:$E$40,'perhitungan individu'!F220,Index!F$15:F$40)*Index!$E$6</f>
        <v>0</v>
      </c>
      <c r="M220" s="44">
        <f>SUMIF(Index!$H$15:$H$40,'perhitungan individu'!$G220,Index!$I$15:$I$40)*Index!$E$7</f>
        <v>0</v>
      </c>
      <c r="N220" s="44">
        <f>SUMIF(Index!$K$15:$K$40,'perhitungan individu'!$G220,Index!$L$15:$L$40)*Index!$E$8</f>
        <v>0</v>
      </c>
      <c r="O220" s="44">
        <f>SUMIF(Index!$M$15:$M$40,'perhitungan individu'!H220,Index!$N$15:$N$40)*Index!$E$9</f>
        <v>0</v>
      </c>
      <c r="P220" s="44">
        <f>SUMIF('Kinera Unit Kerja'!$B$4:$B$20,'perhitungan individu'!$G220,'Kinera Unit Kerja'!$G$4:$G$20)*Index!$E$10</f>
        <v>0</v>
      </c>
      <c r="Q220" s="44">
        <f>I220*Index!$E$11</f>
        <v>0</v>
      </c>
      <c r="R220" s="47">
        <f t="shared" si="5"/>
        <v>0</v>
      </c>
      <c r="S220" s="48">
        <f t="shared" si="4"/>
        <v>0</v>
      </c>
    </row>
    <row r="221" spans="1:19">
      <c r="A221" s="42"/>
      <c r="B221" s="33"/>
      <c r="C221" s="33"/>
      <c r="D221" s="43"/>
      <c r="E221" s="33"/>
      <c r="F221" s="33"/>
      <c r="G221" s="33"/>
      <c r="H221" s="33"/>
      <c r="I221" s="33"/>
      <c r="J221" s="44">
        <f>(D221/100000)*Index!$E$4</f>
        <v>0</v>
      </c>
      <c r="K221" s="44">
        <f>SUMIF(Index!$C$15:$C$40,'perhitungan individu'!E221,Index!$D$15:$D$40)*Index!$E$5</f>
        <v>0</v>
      </c>
      <c r="L221" s="44">
        <f>SUMIF(Index!$E$15:$E$40,'perhitungan individu'!F221,Index!F$15:F$40)*Index!$E$6</f>
        <v>0</v>
      </c>
      <c r="M221" s="44">
        <f>SUMIF(Index!$H$15:$H$40,'perhitungan individu'!$G221,Index!$I$15:$I$40)*Index!$E$7</f>
        <v>0</v>
      </c>
      <c r="N221" s="44">
        <f>SUMIF(Index!$K$15:$K$40,'perhitungan individu'!$G221,Index!$L$15:$L$40)*Index!$E$8</f>
        <v>0</v>
      </c>
      <c r="O221" s="44">
        <f>SUMIF(Index!$M$15:$M$40,'perhitungan individu'!H221,Index!$N$15:$N$40)*Index!$E$9</f>
        <v>0</v>
      </c>
      <c r="P221" s="44">
        <f>SUMIF('Kinera Unit Kerja'!$B$4:$B$20,'perhitungan individu'!$G221,'Kinera Unit Kerja'!$G$4:$G$20)*Index!$E$10</f>
        <v>0</v>
      </c>
      <c r="Q221" s="44">
        <f>I221*Index!$E$11</f>
        <v>0</v>
      </c>
      <c r="R221" s="47">
        <f t="shared" si="5"/>
        <v>0</v>
      </c>
      <c r="S221" s="48">
        <f t="shared" si="4"/>
        <v>0</v>
      </c>
    </row>
    <row r="222" spans="1:19">
      <c r="A222" s="42"/>
      <c r="B222" s="33"/>
      <c r="C222" s="33"/>
      <c r="D222" s="43"/>
      <c r="E222" s="33"/>
      <c r="F222" s="33"/>
      <c r="G222" s="33"/>
      <c r="H222" s="33"/>
      <c r="I222" s="33"/>
      <c r="J222" s="44">
        <f>(D222/100000)*Index!$E$4</f>
        <v>0</v>
      </c>
      <c r="K222" s="44">
        <f>SUMIF(Index!$C$15:$C$40,'perhitungan individu'!E222,Index!$D$15:$D$40)*Index!$E$5</f>
        <v>0</v>
      </c>
      <c r="L222" s="44">
        <f>SUMIF(Index!$E$15:$E$40,'perhitungan individu'!F222,Index!F$15:F$40)*Index!$E$6</f>
        <v>0</v>
      </c>
      <c r="M222" s="44">
        <f>SUMIF(Index!$H$15:$H$40,'perhitungan individu'!$G222,Index!$I$15:$I$40)*Index!$E$7</f>
        <v>0</v>
      </c>
      <c r="N222" s="44">
        <f>SUMIF(Index!$K$15:$K$40,'perhitungan individu'!$G222,Index!$L$15:$L$40)*Index!$E$8</f>
        <v>0</v>
      </c>
      <c r="O222" s="44">
        <f>SUMIF(Index!$M$15:$M$40,'perhitungan individu'!H222,Index!$N$15:$N$40)*Index!$E$9</f>
        <v>0</v>
      </c>
      <c r="P222" s="44">
        <f>SUMIF('Kinera Unit Kerja'!$B$4:$B$20,'perhitungan individu'!$G222,'Kinera Unit Kerja'!$G$4:$G$20)*Index!$E$10</f>
        <v>0</v>
      </c>
      <c r="Q222" s="44">
        <f>I222*Index!$E$11</f>
        <v>0</v>
      </c>
      <c r="R222" s="47">
        <f t="shared" si="5"/>
        <v>0</v>
      </c>
      <c r="S222" s="48">
        <f t="shared" si="4"/>
        <v>0</v>
      </c>
    </row>
    <row r="223" spans="1:19">
      <c r="A223" s="42"/>
      <c r="B223" s="33"/>
      <c r="C223" s="33"/>
      <c r="D223" s="43"/>
      <c r="E223" s="33"/>
      <c r="F223" s="33"/>
      <c r="G223" s="33"/>
      <c r="H223" s="33"/>
      <c r="I223" s="33"/>
      <c r="J223" s="44">
        <f>(D223/100000)*Index!$E$4</f>
        <v>0</v>
      </c>
      <c r="K223" s="44">
        <f>SUMIF(Index!$C$15:$C$40,'perhitungan individu'!E223,Index!$D$15:$D$40)*Index!$E$5</f>
        <v>0</v>
      </c>
      <c r="L223" s="44">
        <f>SUMIF(Index!$E$15:$E$40,'perhitungan individu'!F223,Index!F$15:F$40)*Index!$E$6</f>
        <v>0</v>
      </c>
      <c r="M223" s="44">
        <f>SUMIF(Index!$H$15:$H$40,'perhitungan individu'!$G223,Index!$I$15:$I$40)*Index!$E$7</f>
        <v>0</v>
      </c>
      <c r="N223" s="44">
        <f>SUMIF(Index!$K$15:$K$40,'perhitungan individu'!$G223,Index!$L$15:$L$40)*Index!$E$8</f>
        <v>0</v>
      </c>
      <c r="O223" s="44">
        <f>SUMIF(Index!$M$15:$M$40,'perhitungan individu'!H223,Index!$N$15:$N$40)*Index!$E$9</f>
        <v>0</v>
      </c>
      <c r="P223" s="44">
        <f>SUMIF('Kinera Unit Kerja'!$B$4:$B$20,'perhitungan individu'!$G223,'Kinera Unit Kerja'!$G$4:$G$20)*Index!$E$10</f>
        <v>0</v>
      </c>
      <c r="Q223" s="44">
        <f>I223*Index!$E$11</f>
        <v>0</v>
      </c>
      <c r="R223" s="47">
        <f t="shared" si="5"/>
        <v>0</v>
      </c>
      <c r="S223" s="48">
        <f t="shared" si="4"/>
        <v>0</v>
      </c>
    </row>
    <row r="224" spans="1:19">
      <c r="A224" s="42"/>
      <c r="B224" s="33"/>
      <c r="C224" s="33"/>
      <c r="D224" s="43"/>
      <c r="E224" s="33"/>
      <c r="F224" s="33"/>
      <c r="G224" s="33"/>
      <c r="H224" s="33"/>
      <c r="I224" s="33"/>
      <c r="J224" s="44">
        <f>(D224/100000)*Index!$E$4</f>
        <v>0</v>
      </c>
      <c r="K224" s="44">
        <f>SUMIF(Index!$C$15:$C$40,'perhitungan individu'!E224,Index!$D$15:$D$40)*Index!$E$5</f>
        <v>0</v>
      </c>
      <c r="L224" s="44">
        <f>SUMIF(Index!$E$15:$E$40,'perhitungan individu'!F224,Index!F$15:F$40)*Index!$E$6</f>
        <v>0</v>
      </c>
      <c r="M224" s="44">
        <f>SUMIF(Index!$H$15:$H$40,'perhitungan individu'!$G224,Index!$I$15:$I$40)*Index!$E$7</f>
        <v>0</v>
      </c>
      <c r="N224" s="44">
        <f>SUMIF(Index!$K$15:$K$40,'perhitungan individu'!$G224,Index!$L$15:$L$40)*Index!$E$8</f>
        <v>0</v>
      </c>
      <c r="O224" s="44">
        <f>SUMIF(Index!$M$15:$M$40,'perhitungan individu'!H224,Index!$N$15:$N$40)*Index!$E$9</f>
        <v>0</v>
      </c>
      <c r="P224" s="44">
        <f>SUMIF('Kinera Unit Kerja'!$B$4:$B$20,'perhitungan individu'!$G224,'Kinera Unit Kerja'!$G$4:$G$20)*Index!$E$10</f>
        <v>0</v>
      </c>
      <c r="Q224" s="44">
        <f>I224*Index!$E$11</f>
        <v>0</v>
      </c>
      <c r="R224" s="47">
        <f t="shared" si="5"/>
        <v>0</v>
      </c>
      <c r="S224" s="48">
        <f t="shared" ref="S224:S287" si="6">$B$29/$R$29*$R224</f>
        <v>0</v>
      </c>
    </row>
    <row r="225" spans="1:19">
      <c r="A225" s="42"/>
      <c r="B225" s="33"/>
      <c r="C225" s="33"/>
      <c r="D225" s="43"/>
      <c r="E225" s="33"/>
      <c r="F225" s="33"/>
      <c r="G225" s="33"/>
      <c r="H225" s="33"/>
      <c r="I225" s="33"/>
      <c r="J225" s="44">
        <f>(D225/100000)*Index!$E$4</f>
        <v>0</v>
      </c>
      <c r="K225" s="44">
        <f>SUMIF(Index!$C$15:$C$40,'perhitungan individu'!E225,Index!$D$15:$D$40)*Index!$E$5</f>
        <v>0</v>
      </c>
      <c r="L225" s="44">
        <f>SUMIF(Index!$E$15:$E$40,'perhitungan individu'!F225,Index!F$15:F$40)*Index!$E$6</f>
        <v>0</v>
      </c>
      <c r="M225" s="44">
        <f>SUMIF(Index!$H$15:$H$40,'perhitungan individu'!$G225,Index!$I$15:$I$40)*Index!$E$7</f>
        <v>0</v>
      </c>
      <c r="N225" s="44">
        <f>SUMIF(Index!$K$15:$K$40,'perhitungan individu'!$G225,Index!$L$15:$L$40)*Index!$E$8</f>
        <v>0</v>
      </c>
      <c r="O225" s="44">
        <f>SUMIF(Index!$M$15:$M$40,'perhitungan individu'!H225,Index!$N$15:$N$40)*Index!$E$9</f>
        <v>0</v>
      </c>
      <c r="P225" s="44">
        <f>SUMIF('Kinera Unit Kerja'!$B$4:$B$20,'perhitungan individu'!$G225,'Kinera Unit Kerja'!$G$4:$G$20)*Index!$E$10</f>
        <v>0</v>
      </c>
      <c r="Q225" s="44">
        <f>I225*Index!$E$11</f>
        <v>0</v>
      </c>
      <c r="R225" s="47">
        <f t="shared" si="5"/>
        <v>0</v>
      </c>
      <c r="S225" s="48">
        <f t="shared" si="6"/>
        <v>0</v>
      </c>
    </row>
    <row r="226" spans="1:19">
      <c r="A226" s="42"/>
      <c r="B226" s="33"/>
      <c r="C226" s="33"/>
      <c r="D226" s="43"/>
      <c r="E226" s="33"/>
      <c r="F226" s="33"/>
      <c r="G226" s="33"/>
      <c r="H226" s="33"/>
      <c r="I226" s="33"/>
      <c r="J226" s="44">
        <f>(D226/100000)*Index!$E$4</f>
        <v>0</v>
      </c>
      <c r="K226" s="44">
        <f>SUMIF(Index!$C$15:$C$40,'perhitungan individu'!E226,Index!$D$15:$D$40)*Index!$E$5</f>
        <v>0</v>
      </c>
      <c r="L226" s="44">
        <f>SUMIF(Index!$E$15:$E$40,'perhitungan individu'!F226,Index!F$15:F$40)*Index!$E$6</f>
        <v>0</v>
      </c>
      <c r="M226" s="44">
        <f>SUMIF(Index!$H$15:$H$40,'perhitungan individu'!$G226,Index!$I$15:$I$40)*Index!$E$7</f>
        <v>0</v>
      </c>
      <c r="N226" s="44">
        <f>SUMIF(Index!$K$15:$K$40,'perhitungan individu'!$G226,Index!$L$15:$L$40)*Index!$E$8</f>
        <v>0</v>
      </c>
      <c r="O226" s="44">
        <f>SUMIF(Index!$M$15:$M$40,'perhitungan individu'!H226,Index!$N$15:$N$40)*Index!$E$9</f>
        <v>0</v>
      </c>
      <c r="P226" s="44">
        <f>SUMIF('Kinera Unit Kerja'!$B$4:$B$20,'perhitungan individu'!$G226,'Kinera Unit Kerja'!$G$4:$G$20)*Index!$E$10</f>
        <v>0</v>
      </c>
      <c r="Q226" s="44">
        <f>I226*Index!$E$11</f>
        <v>0</v>
      </c>
      <c r="R226" s="47">
        <f t="shared" si="5"/>
        <v>0</v>
      </c>
      <c r="S226" s="48">
        <f t="shared" si="6"/>
        <v>0</v>
      </c>
    </row>
    <row r="227" spans="1:19">
      <c r="A227" s="42"/>
      <c r="B227" s="33"/>
      <c r="C227" s="33"/>
      <c r="D227" s="43"/>
      <c r="E227" s="33"/>
      <c r="F227" s="33"/>
      <c r="G227" s="33"/>
      <c r="H227" s="33"/>
      <c r="I227" s="33"/>
      <c r="J227" s="44">
        <f>(D227/100000)*Index!$E$4</f>
        <v>0</v>
      </c>
      <c r="K227" s="44">
        <f>SUMIF(Index!$C$15:$C$40,'perhitungan individu'!E227,Index!$D$15:$D$40)*Index!$E$5</f>
        <v>0</v>
      </c>
      <c r="L227" s="44">
        <f>SUMIF(Index!$E$15:$E$40,'perhitungan individu'!F227,Index!F$15:F$40)*Index!$E$6</f>
        <v>0</v>
      </c>
      <c r="M227" s="44">
        <f>SUMIF(Index!$H$15:$H$40,'perhitungan individu'!$G227,Index!$I$15:$I$40)*Index!$E$7</f>
        <v>0</v>
      </c>
      <c r="N227" s="44">
        <f>SUMIF(Index!$K$15:$K$40,'perhitungan individu'!$G227,Index!$L$15:$L$40)*Index!$E$8</f>
        <v>0</v>
      </c>
      <c r="O227" s="44">
        <f>SUMIF(Index!$M$15:$M$40,'perhitungan individu'!H227,Index!$N$15:$N$40)*Index!$E$9</f>
        <v>0</v>
      </c>
      <c r="P227" s="44">
        <f>SUMIF('Kinera Unit Kerja'!$B$4:$B$20,'perhitungan individu'!$G227,'Kinera Unit Kerja'!$G$4:$G$20)*Index!$E$10</f>
        <v>0</v>
      </c>
      <c r="Q227" s="44">
        <f>I227*Index!$E$11</f>
        <v>0</v>
      </c>
      <c r="R227" s="47">
        <f t="shared" ref="R227:R290" si="7">SUM(J227:Q227)</f>
        <v>0</v>
      </c>
      <c r="S227" s="48">
        <f t="shared" si="6"/>
        <v>0</v>
      </c>
    </row>
    <row r="228" spans="1:19">
      <c r="A228" s="42"/>
      <c r="B228" s="33"/>
      <c r="C228" s="33"/>
      <c r="D228" s="43"/>
      <c r="E228" s="33"/>
      <c r="F228" s="33"/>
      <c r="G228" s="33"/>
      <c r="H228" s="33"/>
      <c r="I228" s="33"/>
      <c r="J228" s="44">
        <f>(D228/100000)*Index!$E$4</f>
        <v>0</v>
      </c>
      <c r="K228" s="44">
        <f>SUMIF(Index!$C$15:$C$40,'perhitungan individu'!E228,Index!$D$15:$D$40)*Index!$E$5</f>
        <v>0</v>
      </c>
      <c r="L228" s="44">
        <f>SUMIF(Index!$E$15:$E$40,'perhitungan individu'!F228,Index!F$15:F$40)*Index!$E$6</f>
        <v>0</v>
      </c>
      <c r="M228" s="44">
        <f>SUMIF(Index!$H$15:$H$40,'perhitungan individu'!$G228,Index!$I$15:$I$40)*Index!$E$7</f>
        <v>0</v>
      </c>
      <c r="N228" s="44">
        <f>SUMIF(Index!$K$15:$K$40,'perhitungan individu'!$G228,Index!$L$15:$L$40)*Index!$E$8</f>
        <v>0</v>
      </c>
      <c r="O228" s="44">
        <f>SUMIF(Index!$M$15:$M$40,'perhitungan individu'!H228,Index!$N$15:$N$40)*Index!$E$9</f>
        <v>0</v>
      </c>
      <c r="P228" s="44">
        <f>SUMIF('Kinera Unit Kerja'!$B$4:$B$20,'perhitungan individu'!$G228,'Kinera Unit Kerja'!$G$4:$G$20)*Index!$E$10</f>
        <v>0</v>
      </c>
      <c r="Q228" s="44">
        <f>I228*Index!$E$11</f>
        <v>0</v>
      </c>
      <c r="R228" s="47">
        <f t="shared" si="7"/>
        <v>0</v>
      </c>
      <c r="S228" s="48">
        <f t="shared" si="6"/>
        <v>0</v>
      </c>
    </row>
    <row r="229" spans="1:19">
      <c r="A229" s="42"/>
      <c r="B229" s="33"/>
      <c r="C229" s="33"/>
      <c r="D229" s="43"/>
      <c r="E229" s="33"/>
      <c r="F229" s="33"/>
      <c r="G229" s="33"/>
      <c r="H229" s="33"/>
      <c r="I229" s="33"/>
      <c r="J229" s="44">
        <f>(D229/100000)*Index!$E$4</f>
        <v>0</v>
      </c>
      <c r="K229" s="44">
        <f>SUMIF(Index!$C$15:$C$40,'perhitungan individu'!E229,Index!$D$15:$D$40)*Index!$E$5</f>
        <v>0</v>
      </c>
      <c r="L229" s="44">
        <f>SUMIF(Index!$E$15:$E$40,'perhitungan individu'!F229,Index!F$15:F$40)*Index!$E$6</f>
        <v>0</v>
      </c>
      <c r="M229" s="44">
        <f>SUMIF(Index!$H$15:$H$40,'perhitungan individu'!$G229,Index!$I$15:$I$40)*Index!$E$7</f>
        <v>0</v>
      </c>
      <c r="N229" s="44">
        <f>SUMIF(Index!$K$15:$K$40,'perhitungan individu'!$G229,Index!$L$15:$L$40)*Index!$E$8</f>
        <v>0</v>
      </c>
      <c r="O229" s="44">
        <f>SUMIF(Index!$M$15:$M$40,'perhitungan individu'!H229,Index!$N$15:$N$40)*Index!$E$9</f>
        <v>0</v>
      </c>
      <c r="P229" s="44">
        <f>SUMIF('Kinera Unit Kerja'!$B$4:$B$20,'perhitungan individu'!$G229,'Kinera Unit Kerja'!$G$4:$G$20)*Index!$E$10</f>
        <v>0</v>
      </c>
      <c r="Q229" s="44">
        <f>I229*Index!$E$11</f>
        <v>0</v>
      </c>
      <c r="R229" s="47">
        <f t="shared" si="7"/>
        <v>0</v>
      </c>
      <c r="S229" s="48">
        <f t="shared" si="6"/>
        <v>0</v>
      </c>
    </row>
    <row r="230" spans="1:19">
      <c r="A230" s="42"/>
      <c r="B230" s="33"/>
      <c r="C230" s="33"/>
      <c r="D230" s="43"/>
      <c r="E230" s="33"/>
      <c r="F230" s="33"/>
      <c r="G230" s="33"/>
      <c r="H230" s="33"/>
      <c r="I230" s="33"/>
      <c r="J230" s="44">
        <f>(D230/100000)*Index!$E$4</f>
        <v>0</v>
      </c>
      <c r="K230" s="44">
        <f>SUMIF(Index!$C$15:$C$40,'perhitungan individu'!E230,Index!$D$15:$D$40)*Index!$E$5</f>
        <v>0</v>
      </c>
      <c r="L230" s="44">
        <f>SUMIF(Index!$E$15:$E$40,'perhitungan individu'!F230,Index!F$15:F$40)*Index!$E$6</f>
        <v>0</v>
      </c>
      <c r="M230" s="44">
        <f>SUMIF(Index!$H$15:$H$40,'perhitungan individu'!$G230,Index!$I$15:$I$40)*Index!$E$7</f>
        <v>0</v>
      </c>
      <c r="N230" s="44">
        <f>SUMIF(Index!$K$15:$K$40,'perhitungan individu'!$G230,Index!$L$15:$L$40)*Index!$E$8</f>
        <v>0</v>
      </c>
      <c r="O230" s="44">
        <f>SUMIF(Index!$M$15:$M$40,'perhitungan individu'!H230,Index!$N$15:$N$40)*Index!$E$9</f>
        <v>0</v>
      </c>
      <c r="P230" s="44">
        <f>SUMIF('Kinera Unit Kerja'!$B$4:$B$20,'perhitungan individu'!$G230,'Kinera Unit Kerja'!$G$4:$G$20)*Index!$E$10</f>
        <v>0</v>
      </c>
      <c r="Q230" s="44">
        <f>I230*Index!$E$11</f>
        <v>0</v>
      </c>
      <c r="R230" s="47">
        <f t="shared" si="7"/>
        <v>0</v>
      </c>
      <c r="S230" s="48">
        <f t="shared" si="6"/>
        <v>0</v>
      </c>
    </row>
    <row r="231" spans="1:19">
      <c r="A231" s="42"/>
      <c r="B231" s="33"/>
      <c r="C231" s="33"/>
      <c r="D231" s="43"/>
      <c r="E231" s="33"/>
      <c r="F231" s="33"/>
      <c r="G231" s="33"/>
      <c r="H231" s="33"/>
      <c r="I231" s="33"/>
      <c r="J231" s="44">
        <f>(D231/100000)*Index!$E$4</f>
        <v>0</v>
      </c>
      <c r="K231" s="44">
        <f>SUMIF(Index!$C$15:$C$40,'perhitungan individu'!E231,Index!$D$15:$D$40)*Index!$E$5</f>
        <v>0</v>
      </c>
      <c r="L231" s="44">
        <f>SUMIF(Index!$E$15:$E$40,'perhitungan individu'!F231,Index!F$15:F$40)*Index!$E$6</f>
        <v>0</v>
      </c>
      <c r="M231" s="44">
        <f>SUMIF(Index!$H$15:$H$40,'perhitungan individu'!$G231,Index!$I$15:$I$40)*Index!$E$7</f>
        <v>0</v>
      </c>
      <c r="N231" s="44">
        <f>SUMIF(Index!$K$15:$K$40,'perhitungan individu'!$G231,Index!$L$15:$L$40)*Index!$E$8</f>
        <v>0</v>
      </c>
      <c r="O231" s="44">
        <f>SUMIF(Index!$M$15:$M$40,'perhitungan individu'!H231,Index!$N$15:$N$40)*Index!$E$9</f>
        <v>0</v>
      </c>
      <c r="P231" s="44">
        <f>SUMIF('Kinera Unit Kerja'!$B$4:$B$20,'perhitungan individu'!$G231,'Kinera Unit Kerja'!$G$4:$G$20)*Index!$E$10</f>
        <v>0</v>
      </c>
      <c r="Q231" s="44">
        <f>I231*Index!$E$11</f>
        <v>0</v>
      </c>
      <c r="R231" s="47">
        <f t="shared" si="7"/>
        <v>0</v>
      </c>
      <c r="S231" s="48">
        <f t="shared" si="6"/>
        <v>0</v>
      </c>
    </row>
    <row r="232" spans="1:19">
      <c r="A232" s="42"/>
      <c r="B232" s="33"/>
      <c r="C232" s="33"/>
      <c r="D232" s="43"/>
      <c r="E232" s="33"/>
      <c r="F232" s="33"/>
      <c r="G232" s="33"/>
      <c r="H232" s="33"/>
      <c r="I232" s="33"/>
      <c r="J232" s="44">
        <f>(D232/100000)*Index!$E$4</f>
        <v>0</v>
      </c>
      <c r="K232" s="44">
        <f>SUMIF(Index!$C$15:$C$40,'perhitungan individu'!E232,Index!$D$15:$D$40)*Index!$E$5</f>
        <v>0</v>
      </c>
      <c r="L232" s="44">
        <f>SUMIF(Index!$E$15:$E$40,'perhitungan individu'!F232,Index!F$15:F$40)*Index!$E$6</f>
        <v>0</v>
      </c>
      <c r="M232" s="44">
        <f>SUMIF(Index!$H$15:$H$40,'perhitungan individu'!$G232,Index!$I$15:$I$40)*Index!$E$7</f>
        <v>0</v>
      </c>
      <c r="N232" s="44">
        <f>SUMIF(Index!$K$15:$K$40,'perhitungan individu'!$G232,Index!$L$15:$L$40)*Index!$E$8</f>
        <v>0</v>
      </c>
      <c r="O232" s="44">
        <f>SUMIF(Index!$M$15:$M$40,'perhitungan individu'!H232,Index!$N$15:$N$40)*Index!$E$9</f>
        <v>0</v>
      </c>
      <c r="P232" s="44">
        <f>SUMIF('Kinera Unit Kerja'!$B$4:$B$20,'perhitungan individu'!$G232,'Kinera Unit Kerja'!$G$4:$G$20)*Index!$E$10</f>
        <v>0</v>
      </c>
      <c r="Q232" s="44">
        <f>I232*Index!$E$11</f>
        <v>0</v>
      </c>
      <c r="R232" s="47">
        <f t="shared" si="7"/>
        <v>0</v>
      </c>
      <c r="S232" s="48">
        <f t="shared" si="6"/>
        <v>0</v>
      </c>
    </row>
    <row r="233" spans="1:19">
      <c r="A233" s="42"/>
      <c r="B233" s="33"/>
      <c r="C233" s="33"/>
      <c r="D233" s="43"/>
      <c r="E233" s="33"/>
      <c r="F233" s="33"/>
      <c r="G233" s="33"/>
      <c r="H233" s="33"/>
      <c r="I233" s="33"/>
      <c r="J233" s="44">
        <f>(D233/100000)*Index!$E$4</f>
        <v>0</v>
      </c>
      <c r="K233" s="44">
        <f>SUMIF(Index!$C$15:$C$40,'perhitungan individu'!E233,Index!$D$15:$D$40)*Index!$E$5</f>
        <v>0</v>
      </c>
      <c r="L233" s="44">
        <f>SUMIF(Index!$E$15:$E$40,'perhitungan individu'!F233,Index!F$15:F$40)*Index!$E$6</f>
        <v>0</v>
      </c>
      <c r="M233" s="44">
        <f>SUMIF(Index!$H$15:$H$40,'perhitungan individu'!$G233,Index!$I$15:$I$40)*Index!$E$7</f>
        <v>0</v>
      </c>
      <c r="N233" s="44">
        <f>SUMIF(Index!$K$15:$K$40,'perhitungan individu'!$G233,Index!$L$15:$L$40)*Index!$E$8</f>
        <v>0</v>
      </c>
      <c r="O233" s="44">
        <f>SUMIF(Index!$M$15:$M$40,'perhitungan individu'!H233,Index!$N$15:$N$40)*Index!$E$9</f>
        <v>0</v>
      </c>
      <c r="P233" s="44">
        <f>SUMIF('Kinera Unit Kerja'!$B$4:$B$20,'perhitungan individu'!$G233,'Kinera Unit Kerja'!$G$4:$G$20)*Index!$E$10</f>
        <v>0</v>
      </c>
      <c r="Q233" s="44">
        <f>I233*Index!$E$11</f>
        <v>0</v>
      </c>
      <c r="R233" s="47">
        <f t="shared" si="7"/>
        <v>0</v>
      </c>
      <c r="S233" s="48">
        <f t="shared" si="6"/>
        <v>0</v>
      </c>
    </row>
    <row r="234" spans="1:19">
      <c r="A234" s="42"/>
      <c r="B234" s="33"/>
      <c r="C234" s="33"/>
      <c r="D234" s="43"/>
      <c r="E234" s="33"/>
      <c r="F234" s="33"/>
      <c r="G234" s="33"/>
      <c r="H234" s="33"/>
      <c r="I234" s="33"/>
      <c r="J234" s="44">
        <f>(D234/100000)*Index!$E$4</f>
        <v>0</v>
      </c>
      <c r="K234" s="44">
        <f>SUMIF(Index!$C$15:$C$40,'perhitungan individu'!E234,Index!$D$15:$D$40)*Index!$E$5</f>
        <v>0</v>
      </c>
      <c r="L234" s="44">
        <f>SUMIF(Index!$E$15:$E$40,'perhitungan individu'!F234,Index!F$15:F$40)*Index!$E$6</f>
        <v>0</v>
      </c>
      <c r="M234" s="44">
        <f>SUMIF(Index!$H$15:$H$40,'perhitungan individu'!$G234,Index!$I$15:$I$40)*Index!$E$7</f>
        <v>0</v>
      </c>
      <c r="N234" s="44">
        <f>SUMIF(Index!$K$15:$K$40,'perhitungan individu'!$G234,Index!$L$15:$L$40)*Index!$E$8</f>
        <v>0</v>
      </c>
      <c r="O234" s="44">
        <f>SUMIF(Index!$M$15:$M$40,'perhitungan individu'!H234,Index!$N$15:$N$40)*Index!$E$9</f>
        <v>0</v>
      </c>
      <c r="P234" s="44">
        <f>SUMIF('Kinera Unit Kerja'!$B$4:$B$20,'perhitungan individu'!$G234,'Kinera Unit Kerja'!$G$4:$G$20)*Index!$E$10</f>
        <v>0</v>
      </c>
      <c r="Q234" s="44">
        <f>I234*Index!$E$11</f>
        <v>0</v>
      </c>
      <c r="R234" s="47">
        <f t="shared" si="7"/>
        <v>0</v>
      </c>
      <c r="S234" s="48">
        <f t="shared" si="6"/>
        <v>0</v>
      </c>
    </row>
    <row r="235" spans="1:19">
      <c r="A235" s="42"/>
      <c r="B235" s="33"/>
      <c r="C235" s="33"/>
      <c r="D235" s="43"/>
      <c r="E235" s="33"/>
      <c r="F235" s="33"/>
      <c r="G235" s="33"/>
      <c r="H235" s="33"/>
      <c r="I235" s="33"/>
      <c r="J235" s="44">
        <f>(D235/100000)*Index!$E$4</f>
        <v>0</v>
      </c>
      <c r="K235" s="44">
        <f>SUMIF(Index!$C$15:$C$40,'perhitungan individu'!E235,Index!$D$15:$D$40)*Index!$E$5</f>
        <v>0</v>
      </c>
      <c r="L235" s="44">
        <f>SUMIF(Index!$E$15:$E$40,'perhitungan individu'!F235,Index!F$15:F$40)*Index!$E$6</f>
        <v>0</v>
      </c>
      <c r="M235" s="44">
        <f>SUMIF(Index!$H$15:$H$40,'perhitungan individu'!$G235,Index!$I$15:$I$40)*Index!$E$7</f>
        <v>0</v>
      </c>
      <c r="N235" s="44">
        <f>SUMIF(Index!$K$15:$K$40,'perhitungan individu'!$G235,Index!$L$15:$L$40)*Index!$E$8</f>
        <v>0</v>
      </c>
      <c r="O235" s="44">
        <f>SUMIF(Index!$M$15:$M$40,'perhitungan individu'!H235,Index!$N$15:$N$40)*Index!$E$9</f>
        <v>0</v>
      </c>
      <c r="P235" s="44">
        <f>SUMIF('Kinera Unit Kerja'!$B$4:$B$20,'perhitungan individu'!$G235,'Kinera Unit Kerja'!$G$4:$G$20)*Index!$E$10</f>
        <v>0</v>
      </c>
      <c r="Q235" s="44">
        <f>I235*Index!$E$11</f>
        <v>0</v>
      </c>
      <c r="R235" s="47">
        <f t="shared" si="7"/>
        <v>0</v>
      </c>
      <c r="S235" s="48">
        <f t="shared" si="6"/>
        <v>0</v>
      </c>
    </row>
    <row r="236" spans="1:19">
      <c r="A236" s="42"/>
      <c r="B236" s="33"/>
      <c r="C236" s="33"/>
      <c r="D236" s="43"/>
      <c r="E236" s="33"/>
      <c r="F236" s="33"/>
      <c r="G236" s="33"/>
      <c r="H236" s="33"/>
      <c r="I236" s="33"/>
      <c r="J236" s="44">
        <f>(D236/100000)*Index!$E$4</f>
        <v>0</v>
      </c>
      <c r="K236" s="44">
        <f>SUMIF(Index!$C$15:$C$40,'perhitungan individu'!E236,Index!$D$15:$D$40)*Index!$E$5</f>
        <v>0</v>
      </c>
      <c r="L236" s="44">
        <f>SUMIF(Index!$E$15:$E$40,'perhitungan individu'!F236,Index!F$15:F$40)*Index!$E$6</f>
        <v>0</v>
      </c>
      <c r="M236" s="44">
        <f>SUMIF(Index!$H$15:$H$40,'perhitungan individu'!$G236,Index!$I$15:$I$40)*Index!$E$7</f>
        <v>0</v>
      </c>
      <c r="N236" s="44">
        <f>SUMIF(Index!$K$15:$K$40,'perhitungan individu'!$G236,Index!$L$15:$L$40)*Index!$E$8</f>
        <v>0</v>
      </c>
      <c r="O236" s="44">
        <f>SUMIF(Index!$M$15:$M$40,'perhitungan individu'!H236,Index!$N$15:$N$40)*Index!$E$9</f>
        <v>0</v>
      </c>
      <c r="P236" s="44">
        <f>SUMIF('Kinera Unit Kerja'!$B$4:$B$20,'perhitungan individu'!$G236,'Kinera Unit Kerja'!$G$4:$G$20)*Index!$E$10</f>
        <v>0</v>
      </c>
      <c r="Q236" s="44">
        <f>I236*Index!$E$11</f>
        <v>0</v>
      </c>
      <c r="R236" s="47">
        <f t="shared" si="7"/>
        <v>0</v>
      </c>
      <c r="S236" s="48">
        <f t="shared" si="6"/>
        <v>0</v>
      </c>
    </row>
    <row r="237" spans="1:19">
      <c r="A237" s="42"/>
      <c r="B237" s="33"/>
      <c r="C237" s="33"/>
      <c r="D237" s="43"/>
      <c r="E237" s="33"/>
      <c r="F237" s="33"/>
      <c r="G237" s="33"/>
      <c r="H237" s="33"/>
      <c r="I237" s="33"/>
      <c r="J237" s="44">
        <f>(D237/100000)*Index!$E$4</f>
        <v>0</v>
      </c>
      <c r="K237" s="44">
        <f>SUMIF(Index!$C$15:$C$40,'perhitungan individu'!E237,Index!$D$15:$D$40)*Index!$E$5</f>
        <v>0</v>
      </c>
      <c r="L237" s="44">
        <f>SUMIF(Index!$E$15:$E$40,'perhitungan individu'!F237,Index!F$15:F$40)*Index!$E$6</f>
        <v>0</v>
      </c>
      <c r="M237" s="44">
        <f>SUMIF(Index!$H$15:$H$40,'perhitungan individu'!$G237,Index!$I$15:$I$40)*Index!$E$7</f>
        <v>0</v>
      </c>
      <c r="N237" s="44">
        <f>SUMIF(Index!$K$15:$K$40,'perhitungan individu'!$G237,Index!$L$15:$L$40)*Index!$E$8</f>
        <v>0</v>
      </c>
      <c r="O237" s="44">
        <f>SUMIF(Index!$M$15:$M$40,'perhitungan individu'!H237,Index!$N$15:$N$40)*Index!$E$9</f>
        <v>0</v>
      </c>
      <c r="P237" s="44">
        <f>SUMIF('Kinera Unit Kerja'!$B$4:$B$20,'perhitungan individu'!$G237,'Kinera Unit Kerja'!$G$4:$G$20)*Index!$E$10</f>
        <v>0</v>
      </c>
      <c r="Q237" s="44">
        <f>I237*Index!$E$11</f>
        <v>0</v>
      </c>
      <c r="R237" s="47">
        <f t="shared" si="7"/>
        <v>0</v>
      </c>
      <c r="S237" s="48">
        <f t="shared" si="6"/>
        <v>0</v>
      </c>
    </row>
    <row r="238" spans="1:19">
      <c r="A238" s="42"/>
      <c r="B238" s="33"/>
      <c r="C238" s="33"/>
      <c r="D238" s="43"/>
      <c r="E238" s="33"/>
      <c r="F238" s="33"/>
      <c r="G238" s="33"/>
      <c r="H238" s="33"/>
      <c r="I238" s="33"/>
      <c r="J238" s="44">
        <f>(D238/100000)*Index!$E$4</f>
        <v>0</v>
      </c>
      <c r="K238" s="44">
        <f>SUMIF(Index!$C$15:$C$40,'perhitungan individu'!E238,Index!$D$15:$D$40)*Index!$E$5</f>
        <v>0</v>
      </c>
      <c r="L238" s="44">
        <f>SUMIF(Index!$E$15:$E$40,'perhitungan individu'!F238,Index!F$15:F$40)*Index!$E$6</f>
        <v>0</v>
      </c>
      <c r="M238" s="44">
        <f>SUMIF(Index!$H$15:$H$40,'perhitungan individu'!$G238,Index!$I$15:$I$40)*Index!$E$7</f>
        <v>0</v>
      </c>
      <c r="N238" s="44">
        <f>SUMIF(Index!$K$15:$K$40,'perhitungan individu'!$G238,Index!$L$15:$L$40)*Index!$E$8</f>
        <v>0</v>
      </c>
      <c r="O238" s="44">
        <f>SUMIF(Index!$M$15:$M$40,'perhitungan individu'!H238,Index!$N$15:$N$40)*Index!$E$9</f>
        <v>0</v>
      </c>
      <c r="P238" s="44">
        <f>SUMIF('Kinera Unit Kerja'!$B$4:$B$20,'perhitungan individu'!$G238,'Kinera Unit Kerja'!$G$4:$G$20)*Index!$E$10</f>
        <v>0</v>
      </c>
      <c r="Q238" s="44">
        <f>I238*Index!$E$11</f>
        <v>0</v>
      </c>
      <c r="R238" s="47">
        <f t="shared" si="7"/>
        <v>0</v>
      </c>
      <c r="S238" s="48">
        <f t="shared" si="6"/>
        <v>0</v>
      </c>
    </row>
    <row r="239" spans="1:19">
      <c r="A239" s="42"/>
      <c r="B239" s="33"/>
      <c r="C239" s="33"/>
      <c r="D239" s="43"/>
      <c r="E239" s="33"/>
      <c r="F239" s="33"/>
      <c r="G239" s="33"/>
      <c r="H239" s="33"/>
      <c r="I239" s="33"/>
      <c r="J239" s="44">
        <f>(D239/100000)*Index!$E$4</f>
        <v>0</v>
      </c>
      <c r="K239" s="44">
        <f>SUMIF(Index!$C$15:$C$40,'perhitungan individu'!E239,Index!$D$15:$D$40)*Index!$E$5</f>
        <v>0</v>
      </c>
      <c r="L239" s="44">
        <f>SUMIF(Index!$E$15:$E$40,'perhitungan individu'!F239,Index!F$15:F$40)*Index!$E$6</f>
        <v>0</v>
      </c>
      <c r="M239" s="44">
        <f>SUMIF(Index!$H$15:$H$40,'perhitungan individu'!$G239,Index!$I$15:$I$40)*Index!$E$7</f>
        <v>0</v>
      </c>
      <c r="N239" s="44">
        <f>SUMIF(Index!$K$15:$K$40,'perhitungan individu'!$G239,Index!$L$15:$L$40)*Index!$E$8</f>
        <v>0</v>
      </c>
      <c r="O239" s="44">
        <f>SUMIF(Index!$M$15:$M$40,'perhitungan individu'!H239,Index!$N$15:$N$40)*Index!$E$9</f>
        <v>0</v>
      </c>
      <c r="P239" s="44">
        <f>SUMIF('Kinera Unit Kerja'!$B$4:$B$20,'perhitungan individu'!$G239,'Kinera Unit Kerja'!$G$4:$G$20)*Index!$E$10</f>
        <v>0</v>
      </c>
      <c r="Q239" s="44">
        <f>I239*Index!$E$11</f>
        <v>0</v>
      </c>
      <c r="R239" s="47">
        <f t="shared" si="7"/>
        <v>0</v>
      </c>
      <c r="S239" s="48">
        <f t="shared" si="6"/>
        <v>0</v>
      </c>
    </row>
    <row r="240" spans="1:19">
      <c r="A240" s="42"/>
      <c r="B240" s="33"/>
      <c r="C240" s="33"/>
      <c r="D240" s="43"/>
      <c r="E240" s="33"/>
      <c r="F240" s="33"/>
      <c r="G240" s="33"/>
      <c r="H240" s="33"/>
      <c r="I240" s="33"/>
      <c r="J240" s="44">
        <f>(D240/100000)*Index!$E$4</f>
        <v>0</v>
      </c>
      <c r="K240" s="44">
        <f>SUMIF(Index!$C$15:$C$40,'perhitungan individu'!E240,Index!$D$15:$D$40)*Index!$E$5</f>
        <v>0</v>
      </c>
      <c r="L240" s="44">
        <f>SUMIF(Index!$E$15:$E$40,'perhitungan individu'!F240,Index!F$15:F$40)*Index!$E$6</f>
        <v>0</v>
      </c>
      <c r="M240" s="44">
        <f>SUMIF(Index!$H$15:$H$40,'perhitungan individu'!$G240,Index!$I$15:$I$40)*Index!$E$7</f>
        <v>0</v>
      </c>
      <c r="N240" s="44">
        <f>SUMIF(Index!$K$15:$K$40,'perhitungan individu'!$G240,Index!$L$15:$L$40)*Index!$E$8</f>
        <v>0</v>
      </c>
      <c r="O240" s="44">
        <f>SUMIF(Index!$M$15:$M$40,'perhitungan individu'!H240,Index!$N$15:$N$40)*Index!$E$9</f>
        <v>0</v>
      </c>
      <c r="P240" s="44">
        <f>SUMIF('Kinera Unit Kerja'!$B$4:$B$20,'perhitungan individu'!$G240,'Kinera Unit Kerja'!$G$4:$G$20)*Index!$E$10</f>
        <v>0</v>
      </c>
      <c r="Q240" s="44">
        <f>I240*Index!$E$11</f>
        <v>0</v>
      </c>
      <c r="R240" s="47">
        <f t="shared" si="7"/>
        <v>0</v>
      </c>
      <c r="S240" s="48">
        <f t="shared" si="6"/>
        <v>0</v>
      </c>
    </row>
    <row r="241" spans="1:19">
      <c r="A241" s="42"/>
      <c r="B241" s="33"/>
      <c r="C241" s="33"/>
      <c r="D241" s="43"/>
      <c r="E241" s="33"/>
      <c r="F241" s="33"/>
      <c r="G241" s="33"/>
      <c r="H241" s="33"/>
      <c r="I241" s="33"/>
      <c r="J241" s="44">
        <f>(D241/100000)*Index!$E$4</f>
        <v>0</v>
      </c>
      <c r="K241" s="44">
        <f>SUMIF(Index!$C$15:$C$40,'perhitungan individu'!E241,Index!$D$15:$D$40)*Index!$E$5</f>
        <v>0</v>
      </c>
      <c r="L241" s="44">
        <f>SUMIF(Index!$E$15:$E$40,'perhitungan individu'!F241,Index!F$15:F$40)*Index!$E$6</f>
        <v>0</v>
      </c>
      <c r="M241" s="44">
        <f>SUMIF(Index!$H$15:$H$40,'perhitungan individu'!$G241,Index!$I$15:$I$40)*Index!$E$7</f>
        <v>0</v>
      </c>
      <c r="N241" s="44">
        <f>SUMIF(Index!$K$15:$K$40,'perhitungan individu'!$G241,Index!$L$15:$L$40)*Index!$E$8</f>
        <v>0</v>
      </c>
      <c r="O241" s="44">
        <f>SUMIF(Index!$M$15:$M$40,'perhitungan individu'!H241,Index!$N$15:$N$40)*Index!$E$9</f>
        <v>0</v>
      </c>
      <c r="P241" s="44">
        <f>SUMIF('Kinera Unit Kerja'!$B$4:$B$20,'perhitungan individu'!$G241,'Kinera Unit Kerja'!$G$4:$G$20)*Index!$E$10</f>
        <v>0</v>
      </c>
      <c r="Q241" s="44">
        <f>I241*Index!$E$11</f>
        <v>0</v>
      </c>
      <c r="R241" s="47">
        <f t="shared" si="7"/>
        <v>0</v>
      </c>
      <c r="S241" s="48">
        <f t="shared" si="6"/>
        <v>0</v>
      </c>
    </row>
    <row r="242" spans="1:19">
      <c r="A242" s="42"/>
      <c r="B242" s="33"/>
      <c r="C242" s="33"/>
      <c r="D242" s="43"/>
      <c r="E242" s="33"/>
      <c r="F242" s="33"/>
      <c r="G242" s="33"/>
      <c r="H242" s="33"/>
      <c r="I242" s="33"/>
      <c r="J242" s="44">
        <f>(D242/100000)*Index!$E$4</f>
        <v>0</v>
      </c>
      <c r="K242" s="44">
        <f>SUMIF(Index!$C$15:$C$40,'perhitungan individu'!E242,Index!$D$15:$D$40)*Index!$E$5</f>
        <v>0</v>
      </c>
      <c r="L242" s="44">
        <f>SUMIF(Index!$E$15:$E$40,'perhitungan individu'!F242,Index!F$15:F$40)*Index!$E$6</f>
        <v>0</v>
      </c>
      <c r="M242" s="44">
        <f>SUMIF(Index!$H$15:$H$40,'perhitungan individu'!$G242,Index!$I$15:$I$40)*Index!$E$7</f>
        <v>0</v>
      </c>
      <c r="N242" s="44">
        <f>SUMIF(Index!$K$15:$K$40,'perhitungan individu'!$G242,Index!$L$15:$L$40)*Index!$E$8</f>
        <v>0</v>
      </c>
      <c r="O242" s="44">
        <f>SUMIF(Index!$M$15:$M$40,'perhitungan individu'!H242,Index!$N$15:$N$40)*Index!$E$9</f>
        <v>0</v>
      </c>
      <c r="P242" s="44">
        <f>SUMIF('Kinera Unit Kerja'!$B$4:$B$20,'perhitungan individu'!$G242,'Kinera Unit Kerja'!$G$4:$G$20)*Index!$E$10</f>
        <v>0</v>
      </c>
      <c r="Q242" s="44">
        <f>I242*Index!$E$11</f>
        <v>0</v>
      </c>
      <c r="R242" s="47">
        <f t="shared" si="7"/>
        <v>0</v>
      </c>
      <c r="S242" s="48">
        <f t="shared" si="6"/>
        <v>0</v>
      </c>
    </row>
    <row r="243" spans="1:19">
      <c r="A243" s="42"/>
      <c r="B243" s="33"/>
      <c r="C243" s="33"/>
      <c r="D243" s="43"/>
      <c r="E243" s="33"/>
      <c r="F243" s="33"/>
      <c r="G243" s="33"/>
      <c r="H243" s="33"/>
      <c r="I243" s="33"/>
      <c r="J243" s="44">
        <f>(D243/100000)*Index!$E$4</f>
        <v>0</v>
      </c>
      <c r="K243" s="44">
        <f>SUMIF(Index!$C$15:$C$40,'perhitungan individu'!E243,Index!$D$15:$D$40)*Index!$E$5</f>
        <v>0</v>
      </c>
      <c r="L243" s="44">
        <f>SUMIF(Index!$E$15:$E$40,'perhitungan individu'!F243,Index!F$15:F$40)*Index!$E$6</f>
        <v>0</v>
      </c>
      <c r="M243" s="44">
        <f>SUMIF(Index!$H$15:$H$40,'perhitungan individu'!$G243,Index!$I$15:$I$40)*Index!$E$7</f>
        <v>0</v>
      </c>
      <c r="N243" s="44">
        <f>SUMIF(Index!$K$15:$K$40,'perhitungan individu'!$G243,Index!$L$15:$L$40)*Index!$E$8</f>
        <v>0</v>
      </c>
      <c r="O243" s="44">
        <f>SUMIF(Index!$M$15:$M$40,'perhitungan individu'!H243,Index!$N$15:$N$40)*Index!$E$9</f>
        <v>0</v>
      </c>
      <c r="P243" s="44">
        <f>SUMIF('Kinera Unit Kerja'!$B$4:$B$20,'perhitungan individu'!$G243,'Kinera Unit Kerja'!$G$4:$G$20)*Index!$E$10</f>
        <v>0</v>
      </c>
      <c r="Q243" s="44">
        <f>I243*Index!$E$11</f>
        <v>0</v>
      </c>
      <c r="R243" s="47">
        <f t="shared" si="7"/>
        <v>0</v>
      </c>
      <c r="S243" s="48">
        <f t="shared" si="6"/>
        <v>0</v>
      </c>
    </row>
    <row r="244" spans="1:19">
      <c r="A244" s="42"/>
      <c r="B244" s="33"/>
      <c r="C244" s="33"/>
      <c r="D244" s="43"/>
      <c r="E244" s="33"/>
      <c r="F244" s="33"/>
      <c r="G244" s="33"/>
      <c r="H244" s="33"/>
      <c r="I244" s="33"/>
      <c r="J244" s="44">
        <f>(D244/100000)*Index!$E$4</f>
        <v>0</v>
      </c>
      <c r="K244" s="44">
        <f>SUMIF(Index!$C$15:$C$40,'perhitungan individu'!E244,Index!$D$15:$D$40)*Index!$E$5</f>
        <v>0</v>
      </c>
      <c r="L244" s="44">
        <f>SUMIF(Index!$E$15:$E$40,'perhitungan individu'!F244,Index!F$15:F$40)*Index!$E$6</f>
        <v>0</v>
      </c>
      <c r="M244" s="44">
        <f>SUMIF(Index!$H$15:$H$40,'perhitungan individu'!$G244,Index!$I$15:$I$40)*Index!$E$7</f>
        <v>0</v>
      </c>
      <c r="N244" s="44">
        <f>SUMIF(Index!$K$15:$K$40,'perhitungan individu'!$G244,Index!$L$15:$L$40)*Index!$E$8</f>
        <v>0</v>
      </c>
      <c r="O244" s="44">
        <f>SUMIF(Index!$M$15:$M$40,'perhitungan individu'!H244,Index!$N$15:$N$40)*Index!$E$9</f>
        <v>0</v>
      </c>
      <c r="P244" s="44">
        <f>SUMIF('Kinera Unit Kerja'!$B$4:$B$20,'perhitungan individu'!$G244,'Kinera Unit Kerja'!$G$4:$G$20)*Index!$E$10</f>
        <v>0</v>
      </c>
      <c r="Q244" s="44">
        <f>I244*Index!$E$11</f>
        <v>0</v>
      </c>
      <c r="R244" s="47">
        <f t="shared" si="7"/>
        <v>0</v>
      </c>
      <c r="S244" s="48">
        <f t="shared" si="6"/>
        <v>0</v>
      </c>
    </row>
    <row r="245" spans="1:19">
      <c r="A245" s="42"/>
      <c r="B245" s="33"/>
      <c r="C245" s="33"/>
      <c r="D245" s="43"/>
      <c r="E245" s="33"/>
      <c r="F245" s="33"/>
      <c r="G245" s="33"/>
      <c r="H245" s="33"/>
      <c r="I245" s="33"/>
      <c r="J245" s="44">
        <f>(D245/100000)*Index!$E$4</f>
        <v>0</v>
      </c>
      <c r="K245" s="44">
        <f>SUMIF(Index!$C$15:$C$40,'perhitungan individu'!E245,Index!$D$15:$D$40)*Index!$E$5</f>
        <v>0</v>
      </c>
      <c r="L245" s="44">
        <f>SUMIF(Index!$E$15:$E$40,'perhitungan individu'!F245,Index!F$15:F$40)*Index!$E$6</f>
        <v>0</v>
      </c>
      <c r="M245" s="44">
        <f>SUMIF(Index!$H$15:$H$40,'perhitungan individu'!$G245,Index!$I$15:$I$40)*Index!$E$7</f>
        <v>0</v>
      </c>
      <c r="N245" s="44">
        <f>SUMIF(Index!$K$15:$K$40,'perhitungan individu'!$G245,Index!$L$15:$L$40)*Index!$E$8</f>
        <v>0</v>
      </c>
      <c r="O245" s="44">
        <f>SUMIF(Index!$M$15:$M$40,'perhitungan individu'!H245,Index!$N$15:$N$40)*Index!$E$9</f>
        <v>0</v>
      </c>
      <c r="P245" s="44">
        <f>SUMIF('Kinera Unit Kerja'!$B$4:$B$20,'perhitungan individu'!$G245,'Kinera Unit Kerja'!$G$4:$G$20)*Index!$E$10</f>
        <v>0</v>
      </c>
      <c r="Q245" s="44">
        <f>I245*Index!$E$11</f>
        <v>0</v>
      </c>
      <c r="R245" s="47">
        <f t="shared" si="7"/>
        <v>0</v>
      </c>
      <c r="S245" s="48">
        <f t="shared" si="6"/>
        <v>0</v>
      </c>
    </row>
    <row r="246" spans="1:19">
      <c r="A246" s="42"/>
      <c r="B246" s="33"/>
      <c r="C246" s="33"/>
      <c r="D246" s="43"/>
      <c r="E246" s="33"/>
      <c r="F246" s="33"/>
      <c r="G246" s="33"/>
      <c r="H246" s="33"/>
      <c r="I246" s="33"/>
      <c r="J246" s="44">
        <f>(D246/100000)*Index!$E$4</f>
        <v>0</v>
      </c>
      <c r="K246" s="44">
        <f>SUMIF(Index!$C$15:$C$40,'perhitungan individu'!E246,Index!$D$15:$D$40)*Index!$E$5</f>
        <v>0</v>
      </c>
      <c r="L246" s="44">
        <f>SUMIF(Index!$E$15:$E$40,'perhitungan individu'!F246,Index!F$15:F$40)*Index!$E$6</f>
        <v>0</v>
      </c>
      <c r="M246" s="44">
        <f>SUMIF(Index!$H$15:$H$40,'perhitungan individu'!$G246,Index!$I$15:$I$40)*Index!$E$7</f>
        <v>0</v>
      </c>
      <c r="N246" s="44">
        <f>SUMIF(Index!$K$15:$K$40,'perhitungan individu'!$G246,Index!$L$15:$L$40)*Index!$E$8</f>
        <v>0</v>
      </c>
      <c r="O246" s="44">
        <f>SUMIF(Index!$M$15:$M$40,'perhitungan individu'!H246,Index!$N$15:$N$40)*Index!$E$9</f>
        <v>0</v>
      </c>
      <c r="P246" s="44">
        <f>SUMIF('Kinera Unit Kerja'!$B$4:$B$20,'perhitungan individu'!$G246,'Kinera Unit Kerja'!$G$4:$G$20)*Index!$E$10</f>
        <v>0</v>
      </c>
      <c r="Q246" s="44">
        <f>I246*Index!$E$11</f>
        <v>0</v>
      </c>
      <c r="R246" s="47">
        <f t="shared" si="7"/>
        <v>0</v>
      </c>
      <c r="S246" s="48">
        <f t="shared" si="6"/>
        <v>0</v>
      </c>
    </row>
    <row r="247" spans="1:19">
      <c r="A247" s="42"/>
      <c r="B247" s="33"/>
      <c r="C247" s="33"/>
      <c r="D247" s="43"/>
      <c r="E247" s="33"/>
      <c r="F247" s="33"/>
      <c r="G247" s="33"/>
      <c r="H247" s="33"/>
      <c r="I247" s="33"/>
      <c r="J247" s="44">
        <f>(D247/100000)*Index!$E$4</f>
        <v>0</v>
      </c>
      <c r="K247" s="44">
        <f>SUMIF(Index!$C$15:$C$40,'perhitungan individu'!E247,Index!$D$15:$D$40)*Index!$E$5</f>
        <v>0</v>
      </c>
      <c r="L247" s="44">
        <f>SUMIF(Index!$E$15:$E$40,'perhitungan individu'!F247,Index!F$15:F$40)*Index!$E$6</f>
        <v>0</v>
      </c>
      <c r="M247" s="44">
        <f>SUMIF(Index!$H$15:$H$40,'perhitungan individu'!$G247,Index!$I$15:$I$40)*Index!$E$7</f>
        <v>0</v>
      </c>
      <c r="N247" s="44">
        <f>SUMIF(Index!$K$15:$K$40,'perhitungan individu'!$G247,Index!$L$15:$L$40)*Index!$E$8</f>
        <v>0</v>
      </c>
      <c r="O247" s="44">
        <f>SUMIF(Index!$M$15:$M$40,'perhitungan individu'!H247,Index!$N$15:$N$40)*Index!$E$9</f>
        <v>0</v>
      </c>
      <c r="P247" s="44">
        <f>SUMIF('Kinera Unit Kerja'!$B$4:$B$20,'perhitungan individu'!$G247,'Kinera Unit Kerja'!$G$4:$G$20)*Index!$E$10</f>
        <v>0</v>
      </c>
      <c r="Q247" s="44">
        <f>I247*Index!$E$11</f>
        <v>0</v>
      </c>
      <c r="R247" s="47">
        <f t="shared" si="7"/>
        <v>0</v>
      </c>
      <c r="S247" s="48">
        <f t="shared" si="6"/>
        <v>0</v>
      </c>
    </row>
    <row r="248" spans="1:19">
      <c r="A248" s="42"/>
      <c r="B248" s="33"/>
      <c r="C248" s="33"/>
      <c r="D248" s="43"/>
      <c r="E248" s="33"/>
      <c r="F248" s="33"/>
      <c r="G248" s="33"/>
      <c r="H248" s="33"/>
      <c r="I248" s="33"/>
      <c r="J248" s="44">
        <f>(D248/100000)*Index!$E$4</f>
        <v>0</v>
      </c>
      <c r="K248" s="44">
        <f>SUMIF(Index!$C$15:$C$40,'perhitungan individu'!E248,Index!$D$15:$D$40)*Index!$E$5</f>
        <v>0</v>
      </c>
      <c r="L248" s="44">
        <f>SUMIF(Index!$E$15:$E$40,'perhitungan individu'!F248,Index!F$15:F$40)*Index!$E$6</f>
        <v>0</v>
      </c>
      <c r="M248" s="44">
        <f>SUMIF(Index!$H$15:$H$40,'perhitungan individu'!$G248,Index!$I$15:$I$40)*Index!$E$7</f>
        <v>0</v>
      </c>
      <c r="N248" s="44">
        <f>SUMIF(Index!$K$15:$K$40,'perhitungan individu'!$G248,Index!$L$15:$L$40)*Index!$E$8</f>
        <v>0</v>
      </c>
      <c r="O248" s="44">
        <f>SUMIF(Index!$M$15:$M$40,'perhitungan individu'!H248,Index!$N$15:$N$40)*Index!$E$9</f>
        <v>0</v>
      </c>
      <c r="P248" s="44">
        <f>SUMIF('Kinera Unit Kerja'!$B$4:$B$20,'perhitungan individu'!$G248,'Kinera Unit Kerja'!$G$4:$G$20)*Index!$E$10</f>
        <v>0</v>
      </c>
      <c r="Q248" s="44">
        <f>I248*Index!$E$11</f>
        <v>0</v>
      </c>
      <c r="R248" s="47">
        <f t="shared" si="7"/>
        <v>0</v>
      </c>
      <c r="S248" s="48">
        <f t="shared" si="6"/>
        <v>0</v>
      </c>
    </row>
    <row r="249" spans="1:19">
      <c r="A249" s="42"/>
      <c r="B249" s="33"/>
      <c r="C249" s="33"/>
      <c r="D249" s="43"/>
      <c r="E249" s="33"/>
      <c r="F249" s="33"/>
      <c r="G249" s="33"/>
      <c r="H249" s="33"/>
      <c r="I249" s="33"/>
      <c r="J249" s="44">
        <f>(D249/100000)*Index!$E$4</f>
        <v>0</v>
      </c>
      <c r="K249" s="44">
        <f>SUMIF(Index!$C$15:$C$40,'perhitungan individu'!E249,Index!$D$15:$D$40)*Index!$E$5</f>
        <v>0</v>
      </c>
      <c r="L249" s="44">
        <f>SUMIF(Index!$E$15:$E$40,'perhitungan individu'!F249,Index!F$15:F$40)*Index!$E$6</f>
        <v>0</v>
      </c>
      <c r="M249" s="44">
        <f>SUMIF(Index!$H$15:$H$40,'perhitungan individu'!$G249,Index!$I$15:$I$40)*Index!$E$7</f>
        <v>0</v>
      </c>
      <c r="N249" s="44">
        <f>SUMIF(Index!$K$15:$K$40,'perhitungan individu'!$G249,Index!$L$15:$L$40)*Index!$E$8</f>
        <v>0</v>
      </c>
      <c r="O249" s="44">
        <f>SUMIF(Index!$M$15:$M$40,'perhitungan individu'!H249,Index!$N$15:$N$40)*Index!$E$9</f>
        <v>0</v>
      </c>
      <c r="P249" s="44">
        <f>SUMIF('Kinera Unit Kerja'!$B$4:$B$20,'perhitungan individu'!$G249,'Kinera Unit Kerja'!$G$4:$G$20)*Index!$E$10</f>
        <v>0</v>
      </c>
      <c r="Q249" s="44">
        <f>I249*Index!$E$11</f>
        <v>0</v>
      </c>
      <c r="R249" s="47">
        <f t="shared" si="7"/>
        <v>0</v>
      </c>
      <c r="S249" s="48">
        <f t="shared" si="6"/>
        <v>0</v>
      </c>
    </row>
    <row r="250" spans="1:19">
      <c r="A250" s="42"/>
      <c r="B250" s="33"/>
      <c r="C250" s="33"/>
      <c r="D250" s="43"/>
      <c r="E250" s="33"/>
      <c r="F250" s="33"/>
      <c r="G250" s="33"/>
      <c r="H250" s="33"/>
      <c r="I250" s="33"/>
      <c r="J250" s="44">
        <f>(D250/100000)*Index!$E$4</f>
        <v>0</v>
      </c>
      <c r="K250" s="44">
        <f>SUMIF(Index!$C$15:$C$40,'perhitungan individu'!E250,Index!$D$15:$D$40)*Index!$E$5</f>
        <v>0</v>
      </c>
      <c r="L250" s="44">
        <f>SUMIF(Index!$E$15:$E$40,'perhitungan individu'!F250,Index!F$15:F$40)*Index!$E$6</f>
        <v>0</v>
      </c>
      <c r="M250" s="44">
        <f>SUMIF(Index!$H$15:$H$40,'perhitungan individu'!$G250,Index!$I$15:$I$40)*Index!$E$7</f>
        <v>0</v>
      </c>
      <c r="N250" s="44">
        <f>SUMIF(Index!$K$15:$K$40,'perhitungan individu'!$G250,Index!$L$15:$L$40)*Index!$E$8</f>
        <v>0</v>
      </c>
      <c r="O250" s="44">
        <f>SUMIF(Index!$M$15:$M$40,'perhitungan individu'!H250,Index!$N$15:$N$40)*Index!$E$9</f>
        <v>0</v>
      </c>
      <c r="P250" s="44">
        <f>SUMIF('Kinera Unit Kerja'!$B$4:$B$20,'perhitungan individu'!$G250,'Kinera Unit Kerja'!$G$4:$G$20)*Index!$E$10</f>
        <v>0</v>
      </c>
      <c r="Q250" s="44">
        <f>I250*Index!$E$11</f>
        <v>0</v>
      </c>
      <c r="R250" s="47">
        <f t="shared" si="7"/>
        <v>0</v>
      </c>
      <c r="S250" s="48">
        <f t="shared" si="6"/>
        <v>0</v>
      </c>
    </row>
    <row r="251" spans="1:19">
      <c r="A251" s="42"/>
      <c r="B251" s="33"/>
      <c r="C251" s="33"/>
      <c r="D251" s="43"/>
      <c r="E251" s="33"/>
      <c r="F251" s="33"/>
      <c r="G251" s="33"/>
      <c r="H251" s="33"/>
      <c r="I251" s="33"/>
      <c r="J251" s="44">
        <f>(D251/100000)*Index!$E$4</f>
        <v>0</v>
      </c>
      <c r="K251" s="44">
        <f>SUMIF(Index!$C$15:$C$40,'perhitungan individu'!E251,Index!$D$15:$D$40)*Index!$E$5</f>
        <v>0</v>
      </c>
      <c r="L251" s="44">
        <f>SUMIF(Index!$E$15:$E$40,'perhitungan individu'!F251,Index!F$15:F$40)*Index!$E$6</f>
        <v>0</v>
      </c>
      <c r="M251" s="44">
        <f>SUMIF(Index!$H$15:$H$40,'perhitungan individu'!$G251,Index!$I$15:$I$40)*Index!$E$7</f>
        <v>0</v>
      </c>
      <c r="N251" s="44">
        <f>SUMIF(Index!$K$15:$K$40,'perhitungan individu'!$G251,Index!$L$15:$L$40)*Index!$E$8</f>
        <v>0</v>
      </c>
      <c r="O251" s="44">
        <f>SUMIF(Index!$M$15:$M$40,'perhitungan individu'!H251,Index!$N$15:$N$40)*Index!$E$9</f>
        <v>0</v>
      </c>
      <c r="P251" s="44">
        <f>SUMIF('Kinera Unit Kerja'!$B$4:$B$20,'perhitungan individu'!$G251,'Kinera Unit Kerja'!$G$4:$G$20)*Index!$E$10</f>
        <v>0</v>
      </c>
      <c r="Q251" s="44">
        <f>I251*Index!$E$11</f>
        <v>0</v>
      </c>
      <c r="R251" s="47">
        <f t="shared" si="7"/>
        <v>0</v>
      </c>
      <c r="S251" s="48">
        <f t="shared" si="6"/>
        <v>0</v>
      </c>
    </row>
    <row r="252" spans="1:19">
      <c r="A252" s="42"/>
      <c r="B252" s="33"/>
      <c r="C252" s="33"/>
      <c r="D252" s="43"/>
      <c r="E252" s="33"/>
      <c r="F252" s="33"/>
      <c r="G252" s="33"/>
      <c r="H252" s="33"/>
      <c r="I252" s="33"/>
      <c r="J252" s="44">
        <f>(D252/100000)*Index!$E$4</f>
        <v>0</v>
      </c>
      <c r="K252" s="44">
        <f>SUMIF(Index!$C$15:$C$40,'perhitungan individu'!E252,Index!$D$15:$D$40)*Index!$E$5</f>
        <v>0</v>
      </c>
      <c r="L252" s="44">
        <f>SUMIF(Index!$E$15:$E$40,'perhitungan individu'!F252,Index!F$15:F$40)*Index!$E$6</f>
        <v>0</v>
      </c>
      <c r="M252" s="44">
        <f>SUMIF(Index!$H$15:$H$40,'perhitungan individu'!$G252,Index!$I$15:$I$40)*Index!$E$7</f>
        <v>0</v>
      </c>
      <c r="N252" s="44">
        <f>SUMIF(Index!$K$15:$K$40,'perhitungan individu'!$G252,Index!$L$15:$L$40)*Index!$E$8</f>
        <v>0</v>
      </c>
      <c r="O252" s="44">
        <f>SUMIF(Index!$M$15:$M$40,'perhitungan individu'!H252,Index!$N$15:$N$40)*Index!$E$9</f>
        <v>0</v>
      </c>
      <c r="P252" s="44">
        <f>SUMIF('Kinera Unit Kerja'!$B$4:$B$20,'perhitungan individu'!$G252,'Kinera Unit Kerja'!$G$4:$G$20)*Index!$E$10</f>
        <v>0</v>
      </c>
      <c r="Q252" s="44">
        <f>I252*Index!$E$11</f>
        <v>0</v>
      </c>
      <c r="R252" s="47">
        <f t="shared" si="7"/>
        <v>0</v>
      </c>
      <c r="S252" s="48">
        <f t="shared" si="6"/>
        <v>0</v>
      </c>
    </row>
    <row r="253" spans="1:19">
      <c r="A253" s="42"/>
      <c r="B253" s="33"/>
      <c r="C253" s="33"/>
      <c r="D253" s="43"/>
      <c r="E253" s="33"/>
      <c r="F253" s="33"/>
      <c r="G253" s="33"/>
      <c r="H253" s="33"/>
      <c r="I253" s="33"/>
      <c r="J253" s="44">
        <f>(D253/100000)*Index!$E$4</f>
        <v>0</v>
      </c>
      <c r="K253" s="44">
        <f>SUMIF(Index!$C$15:$C$40,'perhitungan individu'!E253,Index!$D$15:$D$40)*Index!$E$5</f>
        <v>0</v>
      </c>
      <c r="L253" s="44">
        <f>SUMIF(Index!$E$15:$E$40,'perhitungan individu'!F253,Index!F$15:F$40)*Index!$E$6</f>
        <v>0</v>
      </c>
      <c r="M253" s="44">
        <f>SUMIF(Index!$H$15:$H$40,'perhitungan individu'!$G253,Index!$I$15:$I$40)*Index!$E$7</f>
        <v>0</v>
      </c>
      <c r="N253" s="44">
        <f>SUMIF(Index!$K$15:$K$40,'perhitungan individu'!$G253,Index!$L$15:$L$40)*Index!$E$8</f>
        <v>0</v>
      </c>
      <c r="O253" s="44">
        <f>SUMIF(Index!$M$15:$M$40,'perhitungan individu'!H253,Index!$N$15:$N$40)*Index!$E$9</f>
        <v>0</v>
      </c>
      <c r="P253" s="44">
        <f>SUMIF('Kinera Unit Kerja'!$B$4:$B$20,'perhitungan individu'!$G253,'Kinera Unit Kerja'!$G$4:$G$20)*Index!$E$10</f>
        <v>0</v>
      </c>
      <c r="Q253" s="44">
        <f>I253*Index!$E$11</f>
        <v>0</v>
      </c>
      <c r="R253" s="47">
        <f t="shared" si="7"/>
        <v>0</v>
      </c>
      <c r="S253" s="48">
        <f t="shared" si="6"/>
        <v>0</v>
      </c>
    </row>
    <row r="254" spans="1:19">
      <c r="A254" s="42"/>
      <c r="B254" s="33"/>
      <c r="C254" s="33"/>
      <c r="D254" s="43"/>
      <c r="E254" s="33"/>
      <c r="F254" s="33"/>
      <c r="G254" s="33"/>
      <c r="H254" s="33"/>
      <c r="I254" s="33"/>
      <c r="J254" s="44">
        <f>(D254/100000)*Index!$E$4</f>
        <v>0</v>
      </c>
      <c r="K254" s="44">
        <f>SUMIF(Index!$C$15:$C$40,'perhitungan individu'!E254,Index!$D$15:$D$40)*Index!$E$5</f>
        <v>0</v>
      </c>
      <c r="L254" s="44">
        <f>SUMIF(Index!$E$15:$E$40,'perhitungan individu'!F254,Index!F$15:F$40)*Index!$E$6</f>
        <v>0</v>
      </c>
      <c r="M254" s="44">
        <f>SUMIF(Index!$H$15:$H$40,'perhitungan individu'!$G254,Index!$I$15:$I$40)*Index!$E$7</f>
        <v>0</v>
      </c>
      <c r="N254" s="44">
        <f>SUMIF(Index!$K$15:$K$40,'perhitungan individu'!$G254,Index!$L$15:$L$40)*Index!$E$8</f>
        <v>0</v>
      </c>
      <c r="O254" s="44">
        <f>SUMIF(Index!$M$15:$M$40,'perhitungan individu'!H254,Index!$N$15:$N$40)*Index!$E$9</f>
        <v>0</v>
      </c>
      <c r="P254" s="44">
        <f>SUMIF('Kinera Unit Kerja'!$B$4:$B$20,'perhitungan individu'!$G254,'Kinera Unit Kerja'!$G$4:$G$20)*Index!$E$10</f>
        <v>0</v>
      </c>
      <c r="Q254" s="44">
        <f>I254*Index!$E$11</f>
        <v>0</v>
      </c>
      <c r="R254" s="47">
        <f t="shared" si="7"/>
        <v>0</v>
      </c>
      <c r="S254" s="48">
        <f t="shared" si="6"/>
        <v>0</v>
      </c>
    </row>
    <row r="255" spans="1:19">
      <c r="A255" s="42"/>
      <c r="B255" s="33"/>
      <c r="C255" s="33"/>
      <c r="D255" s="43"/>
      <c r="E255" s="33"/>
      <c r="F255" s="33"/>
      <c r="G255" s="33"/>
      <c r="H255" s="33"/>
      <c r="I255" s="33"/>
      <c r="J255" s="44">
        <f>(D255/100000)*Index!$E$4</f>
        <v>0</v>
      </c>
      <c r="K255" s="44">
        <f>SUMIF(Index!$C$15:$C$40,'perhitungan individu'!E255,Index!$D$15:$D$40)*Index!$E$5</f>
        <v>0</v>
      </c>
      <c r="L255" s="44">
        <f>SUMIF(Index!$E$15:$E$40,'perhitungan individu'!F255,Index!F$15:F$40)*Index!$E$6</f>
        <v>0</v>
      </c>
      <c r="M255" s="44">
        <f>SUMIF(Index!$H$15:$H$40,'perhitungan individu'!$G255,Index!$I$15:$I$40)*Index!$E$7</f>
        <v>0</v>
      </c>
      <c r="N255" s="44">
        <f>SUMIF(Index!$K$15:$K$40,'perhitungan individu'!$G255,Index!$L$15:$L$40)*Index!$E$8</f>
        <v>0</v>
      </c>
      <c r="O255" s="44">
        <f>SUMIF(Index!$M$15:$M$40,'perhitungan individu'!H255,Index!$N$15:$N$40)*Index!$E$9</f>
        <v>0</v>
      </c>
      <c r="P255" s="44">
        <f>SUMIF('Kinera Unit Kerja'!$B$4:$B$20,'perhitungan individu'!$G255,'Kinera Unit Kerja'!$G$4:$G$20)*Index!$E$10</f>
        <v>0</v>
      </c>
      <c r="Q255" s="44">
        <f>I255*Index!$E$11</f>
        <v>0</v>
      </c>
      <c r="R255" s="47">
        <f t="shared" si="7"/>
        <v>0</v>
      </c>
      <c r="S255" s="48">
        <f t="shared" si="6"/>
        <v>0</v>
      </c>
    </row>
    <row r="256" spans="1:19">
      <c r="A256" s="42"/>
      <c r="B256" s="33"/>
      <c r="C256" s="33"/>
      <c r="D256" s="43"/>
      <c r="E256" s="33"/>
      <c r="F256" s="33"/>
      <c r="G256" s="33"/>
      <c r="H256" s="33"/>
      <c r="I256" s="33"/>
      <c r="J256" s="44">
        <f>(D256/100000)*Index!$E$4</f>
        <v>0</v>
      </c>
      <c r="K256" s="44">
        <f>SUMIF(Index!$C$15:$C$40,'perhitungan individu'!E256,Index!$D$15:$D$40)*Index!$E$5</f>
        <v>0</v>
      </c>
      <c r="L256" s="44">
        <f>SUMIF(Index!$E$15:$E$40,'perhitungan individu'!F256,Index!F$15:F$40)*Index!$E$6</f>
        <v>0</v>
      </c>
      <c r="M256" s="44">
        <f>SUMIF(Index!$H$15:$H$40,'perhitungan individu'!$G256,Index!$I$15:$I$40)*Index!$E$7</f>
        <v>0</v>
      </c>
      <c r="N256" s="44">
        <f>SUMIF(Index!$K$15:$K$40,'perhitungan individu'!$G256,Index!$L$15:$L$40)*Index!$E$8</f>
        <v>0</v>
      </c>
      <c r="O256" s="44">
        <f>SUMIF(Index!$M$15:$M$40,'perhitungan individu'!H256,Index!$N$15:$N$40)*Index!$E$9</f>
        <v>0</v>
      </c>
      <c r="P256" s="44">
        <f>SUMIF('Kinera Unit Kerja'!$B$4:$B$20,'perhitungan individu'!$G256,'Kinera Unit Kerja'!$G$4:$G$20)*Index!$E$10</f>
        <v>0</v>
      </c>
      <c r="Q256" s="44">
        <f>I256*Index!$E$11</f>
        <v>0</v>
      </c>
      <c r="R256" s="47">
        <f t="shared" si="7"/>
        <v>0</v>
      </c>
      <c r="S256" s="48">
        <f t="shared" si="6"/>
        <v>0</v>
      </c>
    </row>
    <row r="257" spans="1:19">
      <c r="A257" s="42"/>
      <c r="B257" s="33"/>
      <c r="C257" s="33"/>
      <c r="D257" s="43"/>
      <c r="E257" s="33"/>
      <c r="F257" s="33"/>
      <c r="G257" s="33"/>
      <c r="H257" s="33"/>
      <c r="I257" s="33"/>
      <c r="J257" s="44">
        <f>(D257/100000)*Index!$E$4</f>
        <v>0</v>
      </c>
      <c r="K257" s="44">
        <f>SUMIF(Index!$C$15:$C$40,'perhitungan individu'!E257,Index!$D$15:$D$40)*Index!$E$5</f>
        <v>0</v>
      </c>
      <c r="L257" s="44">
        <f>SUMIF(Index!$E$15:$E$40,'perhitungan individu'!F257,Index!F$15:F$40)*Index!$E$6</f>
        <v>0</v>
      </c>
      <c r="M257" s="44">
        <f>SUMIF(Index!$H$15:$H$40,'perhitungan individu'!$G257,Index!$I$15:$I$40)*Index!$E$7</f>
        <v>0</v>
      </c>
      <c r="N257" s="44">
        <f>SUMIF(Index!$K$15:$K$40,'perhitungan individu'!$G257,Index!$L$15:$L$40)*Index!$E$8</f>
        <v>0</v>
      </c>
      <c r="O257" s="44">
        <f>SUMIF(Index!$M$15:$M$40,'perhitungan individu'!H257,Index!$N$15:$N$40)*Index!$E$9</f>
        <v>0</v>
      </c>
      <c r="P257" s="44">
        <f>SUMIF('Kinera Unit Kerja'!$B$4:$B$20,'perhitungan individu'!$G257,'Kinera Unit Kerja'!$G$4:$G$20)*Index!$E$10</f>
        <v>0</v>
      </c>
      <c r="Q257" s="44">
        <f>I257*Index!$E$11</f>
        <v>0</v>
      </c>
      <c r="R257" s="47">
        <f t="shared" si="7"/>
        <v>0</v>
      </c>
      <c r="S257" s="48">
        <f t="shared" si="6"/>
        <v>0</v>
      </c>
    </row>
    <row r="258" spans="1:19">
      <c r="A258" s="42"/>
      <c r="B258" s="33"/>
      <c r="C258" s="33"/>
      <c r="D258" s="43"/>
      <c r="E258" s="33"/>
      <c r="F258" s="33"/>
      <c r="G258" s="33"/>
      <c r="H258" s="33"/>
      <c r="I258" s="33"/>
      <c r="J258" s="44">
        <f>(D258/100000)*Index!$E$4</f>
        <v>0</v>
      </c>
      <c r="K258" s="44">
        <f>SUMIF(Index!$C$15:$C$40,'perhitungan individu'!E258,Index!$D$15:$D$40)*Index!$E$5</f>
        <v>0</v>
      </c>
      <c r="L258" s="44">
        <f>SUMIF(Index!$E$15:$E$40,'perhitungan individu'!F258,Index!F$15:F$40)*Index!$E$6</f>
        <v>0</v>
      </c>
      <c r="M258" s="44">
        <f>SUMIF(Index!$H$15:$H$40,'perhitungan individu'!$G258,Index!$I$15:$I$40)*Index!$E$7</f>
        <v>0</v>
      </c>
      <c r="N258" s="44">
        <f>SUMIF(Index!$K$15:$K$40,'perhitungan individu'!$G258,Index!$L$15:$L$40)*Index!$E$8</f>
        <v>0</v>
      </c>
      <c r="O258" s="44">
        <f>SUMIF(Index!$M$15:$M$40,'perhitungan individu'!H258,Index!$N$15:$N$40)*Index!$E$9</f>
        <v>0</v>
      </c>
      <c r="P258" s="44">
        <f>SUMIF('Kinera Unit Kerja'!$B$4:$B$20,'perhitungan individu'!$G258,'Kinera Unit Kerja'!$G$4:$G$20)*Index!$E$10</f>
        <v>0</v>
      </c>
      <c r="Q258" s="44">
        <f>I258*Index!$E$11</f>
        <v>0</v>
      </c>
      <c r="R258" s="47">
        <f t="shared" si="7"/>
        <v>0</v>
      </c>
      <c r="S258" s="48">
        <f t="shared" si="6"/>
        <v>0</v>
      </c>
    </row>
    <row r="259" spans="1:19">
      <c r="A259" s="42"/>
      <c r="B259" s="33"/>
      <c r="C259" s="33"/>
      <c r="D259" s="43"/>
      <c r="E259" s="33"/>
      <c r="F259" s="33"/>
      <c r="G259" s="33"/>
      <c r="H259" s="33"/>
      <c r="I259" s="33"/>
      <c r="J259" s="44">
        <f>(D259/100000)*Index!$E$4</f>
        <v>0</v>
      </c>
      <c r="K259" s="44">
        <f>SUMIF(Index!$C$15:$C$40,'perhitungan individu'!E259,Index!$D$15:$D$40)*Index!$E$5</f>
        <v>0</v>
      </c>
      <c r="L259" s="44">
        <f>SUMIF(Index!$E$15:$E$40,'perhitungan individu'!F259,Index!F$15:F$40)*Index!$E$6</f>
        <v>0</v>
      </c>
      <c r="M259" s="44">
        <f>SUMIF(Index!$H$15:$H$40,'perhitungan individu'!$G259,Index!$I$15:$I$40)*Index!$E$7</f>
        <v>0</v>
      </c>
      <c r="N259" s="44">
        <f>SUMIF(Index!$K$15:$K$40,'perhitungan individu'!$G259,Index!$L$15:$L$40)*Index!$E$8</f>
        <v>0</v>
      </c>
      <c r="O259" s="44">
        <f>SUMIF(Index!$M$15:$M$40,'perhitungan individu'!H259,Index!$N$15:$N$40)*Index!$E$9</f>
        <v>0</v>
      </c>
      <c r="P259" s="44">
        <f>SUMIF('Kinera Unit Kerja'!$B$4:$B$20,'perhitungan individu'!$G259,'Kinera Unit Kerja'!$G$4:$G$20)*Index!$E$10</f>
        <v>0</v>
      </c>
      <c r="Q259" s="44">
        <f>I259*Index!$E$11</f>
        <v>0</v>
      </c>
      <c r="R259" s="47">
        <f t="shared" si="7"/>
        <v>0</v>
      </c>
      <c r="S259" s="48">
        <f t="shared" si="6"/>
        <v>0</v>
      </c>
    </row>
    <row r="260" spans="1:19">
      <c r="A260" s="42"/>
      <c r="B260" s="33"/>
      <c r="C260" s="33"/>
      <c r="D260" s="43"/>
      <c r="E260" s="33"/>
      <c r="F260" s="33"/>
      <c r="G260" s="33"/>
      <c r="H260" s="33"/>
      <c r="I260" s="33"/>
      <c r="J260" s="44">
        <f>(D260/100000)*Index!$E$4</f>
        <v>0</v>
      </c>
      <c r="K260" s="44">
        <f>SUMIF(Index!$C$15:$C$40,'perhitungan individu'!E260,Index!$D$15:$D$40)*Index!$E$5</f>
        <v>0</v>
      </c>
      <c r="L260" s="44">
        <f>SUMIF(Index!$E$15:$E$40,'perhitungan individu'!F260,Index!F$15:F$40)*Index!$E$6</f>
        <v>0</v>
      </c>
      <c r="M260" s="44">
        <f>SUMIF(Index!$H$15:$H$40,'perhitungan individu'!$G260,Index!$I$15:$I$40)*Index!$E$7</f>
        <v>0</v>
      </c>
      <c r="N260" s="44">
        <f>SUMIF(Index!$K$15:$K$40,'perhitungan individu'!$G260,Index!$L$15:$L$40)*Index!$E$8</f>
        <v>0</v>
      </c>
      <c r="O260" s="44">
        <f>SUMIF(Index!$M$15:$M$40,'perhitungan individu'!H260,Index!$N$15:$N$40)*Index!$E$9</f>
        <v>0</v>
      </c>
      <c r="P260" s="44">
        <f>SUMIF('Kinera Unit Kerja'!$B$4:$B$20,'perhitungan individu'!$G260,'Kinera Unit Kerja'!$G$4:$G$20)*Index!$E$10</f>
        <v>0</v>
      </c>
      <c r="Q260" s="44">
        <f>I260*Index!$E$11</f>
        <v>0</v>
      </c>
      <c r="R260" s="47">
        <f t="shared" si="7"/>
        <v>0</v>
      </c>
      <c r="S260" s="48">
        <f t="shared" si="6"/>
        <v>0</v>
      </c>
    </row>
    <row r="261" spans="1:19">
      <c r="A261" s="42"/>
      <c r="B261" s="33"/>
      <c r="C261" s="33"/>
      <c r="D261" s="43"/>
      <c r="E261" s="33"/>
      <c r="F261" s="33"/>
      <c r="G261" s="33"/>
      <c r="H261" s="33"/>
      <c r="I261" s="33"/>
      <c r="J261" s="44">
        <f>(D261/100000)*Index!$E$4</f>
        <v>0</v>
      </c>
      <c r="K261" s="44">
        <f>SUMIF(Index!$C$15:$C$40,'perhitungan individu'!E261,Index!$D$15:$D$40)*Index!$E$5</f>
        <v>0</v>
      </c>
      <c r="L261" s="44">
        <f>SUMIF(Index!$E$15:$E$40,'perhitungan individu'!F261,Index!F$15:F$40)*Index!$E$6</f>
        <v>0</v>
      </c>
      <c r="M261" s="44">
        <f>SUMIF(Index!$H$15:$H$40,'perhitungan individu'!$G261,Index!$I$15:$I$40)*Index!$E$7</f>
        <v>0</v>
      </c>
      <c r="N261" s="44">
        <f>SUMIF(Index!$K$15:$K$40,'perhitungan individu'!$G261,Index!$L$15:$L$40)*Index!$E$8</f>
        <v>0</v>
      </c>
      <c r="O261" s="44">
        <f>SUMIF(Index!$M$15:$M$40,'perhitungan individu'!H261,Index!$N$15:$N$40)*Index!$E$9</f>
        <v>0</v>
      </c>
      <c r="P261" s="44">
        <f>SUMIF('Kinera Unit Kerja'!$B$4:$B$20,'perhitungan individu'!$G261,'Kinera Unit Kerja'!$G$4:$G$20)*Index!$E$10</f>
        <v>0</v>
      </c>
      <c r="Q261" s="44">
        <f>I261*Index!$E$11</f>
        <v>0</v>
      </c>
      <c r="R261" s="47">
        <f t="shared" si="7"/>
        <v>0</v>
      </c>
      <c r="S261" s="48">
        <f t="shared" si="6"/>
        <v>0</v>
      </c>
    </row>
    <row r="262" spans="1:19">
      <c r="A262" s="42"/>
      <c r="B262" s="33"/>
      <c r="C262" s="33"/>
      <c r="D262" s="43"/>
      <c r="E262" s="33"/>
      <c r="F262" s="33"/>
      <c r="G262" s="33"/>
      <c r="H262" s="33"/>
      <c r="I262" s="33"/>
      <c r="J262" s="44">
        <f>(D262/100000)*Index!$E$4</f>
        <v>0</v>
      </c>
      <c r="K262" s="44">
        <f>SUMIF(Index!$C$15:$C$40,'perhitungan individu'!E262,Index!$D$15:$D$40)*Index!$E$5</f>
        <v>0</v>
      </c>
      <c r="L262" s="44">
        <f>SUMIF(Index!$E$15:$E$40,'perhitungan individu'!F262,Index!F$15:F$40)*Index!$E$6</f>
        <v>0</v>
      </c>
      <c r="M262" s="44">
        <f>SUMIF(Index!$H$15:$H$40,'perhitungan individu'!$G262,Index!$I$15:$I$40)*Index!$E$7</f>
        <v>0</v>
      </c>
      <c r="N262" s="44">
        <f>SUMIF(Index!$K$15:$K$40,'perhitungan individu'!$G262,Index!$L$15:$L$40)*Index!$E$8</f>
        <v>0</v>
      </c>
      <c r="O262" s="44">
        <f>SUMIF(Index!$M$15:$M$40,'perhitungan individu'!H262,Index!$N$15:$N$40)*Index!$E$9</f>
        <v>0</v>
      </c>
      <c r="P262" s="44">
        <f>SUMIF('Kinera Unit Kerja'!$B$4:$B$20,'perhitungan individu'!$G262,'Kinera Unit Kerja'!$G$4:$G$20)*Index!$E$10</f>
        <v>0</v>
      </c>
      <c r="Q262" s="44">
        <f>I262*Index!$E$11</f>
        <v>0</v>
      </c>
      <c r="R262" s="47">
        <f t="shared" si="7"/>
        <v>0</v>
      </c>
      <c r="S262" s="48">
        <f t="shared" si="6"/>
        <v>0</v>
      </c>
    </row>
    <row r="263" spans="1:19">
      <c r="A263" s="42"/>
      <c r="B263" s="33"/>
      <c r="C263" s="33"/>
      <c r="D263" s="43"/>
      <c r="E263" s="33"/>
      <c r="F263" s="33"/>
      <c r="G263" s="33"/>
      <c r="H263" s="33"/>
      <c r="I263" s="33"/>
      <c r="J263" s="44">
        <f>(D263/100000)*Index!$E$4</f>
        <v>0</v>
      </c>
      <c r="K263" s="44">
        <f>SUMIF(Index!$C$15:$C$40,'perhitungan individu'!E263,Index!$D$15:$D$40)*Index!$E$5</f>
        <v>0</v>
      </c>
      <c r="L263" s="44">
        <f>SUMIF(Index!$E$15:$E$40,'perhitungan individu'!F263,Index!F$15:F$40)*Index!$E$6</f>
        <v>0</v>
      </c>
      <c r="M263" s="44">
        <f>SUMIF(Index!$H$15:$H$40,'perhitungan individu'!$G263,Index!$I$15:$I$40)*Index!$E$7</f>
        <v>0</v>
      </c>
      <c r="N263" s="44">
        <f>SUMIF(Index!$K$15:$K$40,'perhitungan individu'!$G263,Index!$L$15:$L$40)*Index!$E$8</f>
        <v>0</v>
      </c>
      <c r="O263" s="44">
        <f>SUMIF(Index!$M$15:$M$40,'perhitungan individu'!H263,Index!$N$15:$N$40)*Index!$E$9</f>
        <v>0</v>
      </c>
      <c r="P263" s="44">
        <f>SUMIF('Kinera Unit Kerja'!$B$4:$B$20,'perhitungan individu'!$G263,'Kinera Unit Kerja'!$G$4:$G$20)*Index!$E$10</f>
        <v>0</v>
      </c>
      <c r="Q263" s="44">
        <f>I263*Index!$E$11</f>
        <v>0</v>
      </c>
      <c r="R263" s="47">
        <f t="shared" si="7"/>
        <v>0</v>
      </c>
      <c r="S263" s="48">
        <f t="shared" si="6"/>
        <v>0</v>
      </c>
    </row>
    <row r="264" spans="1:19">
      <c r="A264" s="42"/>
      <c r="B264" s="33"/>
      <c r="C264" s="33"/>
      <c r="D264" s="43"/>
      <c r="E264" s="33"/>
      <c r="F264" s="33"/>
      <c r="G264" s="33"/>
      <c r="H264" s="33"/>
      <c r="I264" s="33"/>
      <c r="J264" s="44">
        <f>(D264/100000)*Index!$E$4</f>
        <v>0</v>
      </c>
      <c r="K264" s="44">
        <f>SUMIF(Index!$C$15:$C$40,'perhitungan individu'!E264,Index!$D$15:$D$40)*Index!$E$5</f>
        <v>0</v>
      </c>
      <c r="L264" s="44">
        <f>SUMIF(Index!$E$15:$E$40,'perhitungan individu'!F264,Index!F$15:F$40)*Index!$E$6</f>
        <v>0</v>
      </c>
      <c r="M264" s="44">
        <f>SUMIF(Index!$H$15:$H$40,'perhitungan individu'!$G264,Index!$I$15:$I$40)*Index!$E$7</f>
        <v>0</v>
      </c>
      <c r="N264" s="44">
        <f>SUMIF(Index!$K$15:$K$40,'perhitungan individu'!$G264,Index!$L$15:$L$40)*Index!$E$8</f>
        <v>0</v>
      </c>
      <c r="O264" s="44">
        <f>SUMIF(Index!$M$15:$M$40,'perhitungan individu'!H264,Index!$N$15:$N$40)*Index!$E$9</f>
        <v>0</v>
      </c>
      <c r="P264" s="44">
        <f>SUMIF('Kinera Unit Kerja'!$B$4:$B$20,'perhitungan individu'!$G264,'Kinera Unit Kerja'!$G$4:$G$20)*Index!$E$10</f>
        <v>0</v>
      </c>
      <c r="Q264" s="44">
        <f>I264*Index!$E$11</f>
        <v>0</v>
      </c>
      <c r="R264" s="47">
        <f t="shared" si="7"/>
        <v>0</v>
      </c>
      <c r="S264" s="48">
        <f t="shared" si="6"/>
        <v>0</v>
      </c>
    </row>
    <row r="265" spans="1:19">
      <c r="A265" s="42"/>
      <c r="B265" s="33"/>
      <c r="C265" s="33"/>
      <c r="D265" s="43"/>
      <c r="E265" s="33"/>
      <c r="F265" s="33"/>
      <c r="G265" s="33"/>
      <c r="H265" s="33"/>
      <c r="I265" s="33"/>
      <c r="J265" s="44">
        <f>(D265/100000)*Index!$E$4</f>
        <v>0</v>
      </c>
      <c r="K265" s="44">
        <f>SUMIF(Index!$C$15:$C$40,'perhitungan individu'!E265,Index!$D$15:$D$40)*Index!$E$5</f>
        <v>0</v>
      </c>
      <c r="L265" s="44">
        <f>SUMIF(Index!$E$15:$E$40,'perhitungan individu'!F265,Index!F$15:F$40)*Index!$E$6</f>
        <v>0</v>
      </c>
      <c r="M265" s="44">
        <f>SUMIF(Index!$H$15:$H$40,'perhitungan individu'!$G265,Index!$I$15:$I$40)*Index!$E$7</f>
        <v>0</v>
      </c>
      <c r="N265" s="44">
        <f>SUMIF(Index!$K$15:$K$40,'perhitungan individu'!$G265,Index!$L$15:$L$40)*Index!$E$8</f>
        <v>0</v>
      </c>
      <c r="O265" s="44">
        <f>SUMIF(Index!$M$15:$M$40,'perhitungan individu'!H265,Index!$N$15:$N$40)*Index!$E$9</f>
        <v>0</v>
      </c>
      <c r="P265" s="44">
        <f>SUMIF('Kinera Unit Kerja'!$B$4:$B$20,'perhitungan individu'!$G265,'Kinera Unit Kerja'!$G$4:$G$20)*Index!$E$10</f>
        <v>0</v>
      </c>
      <c r="Q265" s="44">
        <f>I265*Index!$E$11</f>
        <v>0</v>
      </c>
      <c r="R265" s="47">
        <f t="shared" si="7"/>
        <v>0</v>
      </c>
      <c r="S265" s="48">
        <f t="shared" si="6"/>
        <v>0</v>
      </c>
    </row>
    <row r="266" spans="1:19">
      <c r="A266" s="42"/>
      <c r="B266" s="33"/>
      <c r="C266" s="33"/>
      <c r="D266" s="43"/>
      <c r="E266" s="33"/>
      <c r="F266" s="33"/>
      <c r="G266" s="33"/>
      <c r="H266" s="33"/>
      <c r="I266" s="33"/>
      <c r="J266" s="44">
        <f>(D266/100000)*Index!$E$4</f>
        <v>0</v>
      </c>
      <c r="K266" s="44">
        <f>SUMIF(Index!$C$15:$C$40,'perhitungan individu'!E266,Index!$D$15:$D$40)*Index!$E$5</f>
        <v>0</v>
      </c>
      <c r="L266" s="44">
        <f>SUMIF(Index!$E$15:$E$40,'perhitungan individu'!F266,Index!F$15:F$40)*Index!$E$6</f>
        <v>0</v>
      </c>
      <c r="M266" s="44">
        <f>SUMIF(Index!$H$15:$H$40,'perhitungan individu'!$G266,Index!$I$15:$I$40)*Index!$E$7</f>
        <v>0</v>
      </c>
      <c r="N266" s="44">
        <f>SUMIF(Index!$K$15:$K$40,'perhitungan individu'!$G266,Index!$L$15:$L$40)*Index!$E$8</f>
        <v>0</v>
      </c>
      <c r="O266" s="44">
        <f>SUMIF(Index!$M$15:$M$40,'perhitungan individu'!H266,Index!$N$15:$N$40)*Index!$E$9</f>
        <v>0</v>
      </c>
      <c r="P266" s="44">
        <f>SUMIF('Kinera Unit Kerja'!$B$4:$B$20,'perhitungan individu'!$G266,'Kinera Unit Kerja'!$G$4:$G$20)*Index!$E$10</f>
        <v>0</v>
      </c>
      <c r="Q266" s="44">
        <f>I266*Index!$E$11</f>
        <v>0</v>
      </c>
      <c r="R266" s="47">
        <f t="shared" si="7"/>
        <v>0</v>
      </c>
      <c r="S266" s="48">
        <f t="shared" si="6"/>
        <v>0</v>
      </c>
    </row>
    <row r="267" spans="1:19">
      <c r="A267" s="42"/>
      <c r="B267" s="33"/>
      <c r="C267" s="33"/>
      <c r="D267" s="43"/>
      <c r="E267" s="33"/>
      <c r="F267" s="33"/>
      <c r="G267" s="33"/>
      <c r="H267" s="33"/>
      <c r="I267" s="33"/>
      <c r="J267" s="44">
        <f>(D267/100000)*Index!$E$4</f>
        <v>0</v>
      </c>
      <c r="K267" s="44">
        <f>SUMIF(Index!$C$15:$C$40,'perhitungan individu'!E267,Index!$D$15:$D$40)*Index!$E$5</f>
        <v>0</v>
      </c>
      <c r="L267" s="44">
        <f>SUMIF(Index!$E$15:$E$40,'perhitungan individu'!F267,Index!F$15:F$40)*Index!$E$6</f>
        <v>0</v>
      </c>
      <c r="M267" s="44">
        <f>SUMIF(Index!$H$15:$H$40,'perhitungan individu'!$G267,Index!$I$15:$I$40)*Index!$E$7</f>
        <v>0</v>
      </c>
      <c r="N267" s="44">
        <f>SUMIF(Index!$K$15:$K$40,'perhitungan individu'!$G267,Index!$L$15:$L$40)*Index!$E$8</f>
        <v>0</v>
      </c>
      <c r="O267" s="44">
        <f>SUMIF(Index!$M$15:$M$40,'perhitungan individu'!H267,Index!$N$15:$N$40)*Index!$E$9</f>
        <v>0</v>
      </c>
      <c r="P267" s="44">
        <f>SUMIF('Kinera Unit Kerja'!$B$4:$B$20,'perhitungan individu'!$G267,'Kinera Unit Kerja'!$G$4:$G$20)*Index!$E$10</f>
        <v>0</v>
      </c>
      <c r="Q267" s="44">
        <f>I267*Index!$E$11</f>
        <v>0</v>
      </c>
      <c r="R267" s="47">
        <f t="shared" si="7"/>
        <v>0</v>
      </c>
      <c r="S267" s="48">
        <f t="shared" si="6"/>
        <v>0</v>
      </c>
    </row>
    <row r="268" spans="1:19">
      <c r="A268" s="42"/>
      <c r="B268" s="33"/>
      <c r="C268" s="33"/>
      <c r="D268" s="43"/>
      <c r="E268" s="33"/>
      <c r="F268" s="33"/>
      <c r="G268" s="33"/>
      <c r="H268" s="33"/>
      <c r="I268" s="33"/>
      <c r="J268" s="44">
        <f>(D268/100000)*Index!$E$4</f>
        <v>0</v>
      </c>
      <c r="K268" s="44">
        <f>SUMIF(Index!$C$15:$C$40,'perhitungan individu'!E268,Index!$D$15:$D$40)*Index!$E$5</f>
        <v>0</v>
      </c>
      <c r="L268" s="44">
        <f>SUMIF(Index!$E$15:$E$40,'perhitungan individu'!F268,Index!F$15:F$40)*Index!$E$6</f>
        <v>0</v>
      </c>
      <c r="M268" s="44">
        <f>SUMIF(Index!$H$15:$H$40,'perhitungan individu'!$G268,Index!$I$15:$I$40)*Index!$E$7</f>
        <v>0</v>
      </c>
      <c r="N268" s="44">
        <f>SUMIF(Index!$K$15:$K$40,'perhitungan individu'!$G268,Index!$L$15:$L$40)*Index!$E$8</f>
        <v>0</v>
      </c>
      <c r="O268" s="44">
        <f>SUMIF(Index!$M$15:$M$40,'perhitungan individu'!H268,Index!$N$15:$N$40)*Index!$E$9</f>
        <v>0</v>
      </c>
      <c r="P268" s="44">
        <f>SUMIF('Kinera Unit Kerja'!$B$4:$B$20,'perhitungan individu'!$G268,'Kinera Unit Kerja'!$G$4:$G$20)*Index!$E$10</f>
        <v>0</v>
      </c>
      <c r="Q268" s="44">
        <f>I268*Index!$E$11</f>
        <v>0</v>
      </c>
      <c r="R268" s="47">
        <f t="shared" si="7"/>
        <v>0</v>
      </c>
      <c r="S268" s="48">
        <f t="shared" si="6"/>
        <v>0</v>
      </c>
    </row>
    <row r="269" spans="1:19">
      <c r="A269" s="42"/>
      <c r="B269" s="33"/>
      <c r="C269" s="33"/>
      <c r="D269" s="43"/>
      <c r="E269" s="33"/>
      <c r="F269" s="33"/>
      <c r="G269" s="33"/>
      <c r="H269" s="33"/>
      <c r="I269" s="33"/>
      <c r="J269" s="44">
        <f>(D269/100000)*Index!$E$4</f>
        <v>0</v>
      </c>
      <c r="K269" s="44">
        <f>SUMIF(Index!$C$15:$C$40,'perhitungan individu'!E269,Index!$D$15:$D$40)*Index!$E$5</f>
        <v>0</v>
      </c>
      <c r="L269" s="44">
        <f>SUMIF(Index!$E$15:$E$40,'perhitungan individu'!F269,Index!F$15:F$40)*Index!$E$6</f>
        <v>0</v>
      </c>
      <c r="M269" s="44">
        <f>SUMIF(Index!$H$15:$H$40,'perhitungan individu'!$G269,Index!$I$15:$I$40)*Index!$E$7</f>
        <v>0</v>
      </c>
      <c r="N269" s="44">
        <f>SUMIF(Index!$K$15:$K$40,'perhitungan individu'!$G269,Index!$L$15:$L$40)*Index!$E$8</f>
        <v>0</v>
      </c>
      <c r="O269" s="44">
        <f>SUMIF(Index!$M$15:$M$40,'perhitungan individu'!H269,Index!$N$15:$N$40)*Index!$E$9</f>
        <v>0</v>
      </c>
      <c r="P269" s="44">
        <f>SUMIF('Kinera Unit Kerja'!$B$4:$B$20,'perhitungan individu'!$G269,'Kinera Unit Kerja'!$G$4:$G$20)*Index!$E$10</f>
        <v>0</v>
      </c>
      <c r="Q269" s="44">
        <f>I269*Index!$E$11</f>
        <v>0</v>
      </c>
      <c r="R269" s="47">
        <f t="shared" si="7"/>
        <v>0</v>
      </c>
      <c r="S269" s="48">
        <f t="shared" si="6"/>
        <v>0</v>
      </c>
    </row>
    <row r="270" spans="1:19">
      <c r="A270" s="42"/>
      <c r="B270" s="33"/>
      <c r="C270" s="33"/>
      <c r="D270" s="43"/>
      <c r="E270" s="33"/>
      <c r="F270" s="33"/>
      <c r="G270" s="33"/>
      <c r="H270" s="33"/>
      <c r="I270" s="33"/>
      <c r="J270" s="44">
        <f>(D270/100000)*Index!$E$4</f>
        <v>0</v>
      </c>
      <c r="K270" s="44">
        <f>SUMIF(Index!$C$15:$C$40,'perhitungan individu'!E270,Index!$D$15:$D$40)*Index!$E$5</f>
        <v>0</v>
      </c>
      <c r="L270" s="44">
        <f>SUMIF(Index!$E$15:$E$40,'perhitungan individu'!F270,Index!F$15:F$40)*Index!$E$6</f>
        <v>0</v>
      </c>
      <c r="M270" s="44">
        <f>SUMIF(Index!$H$15:$H$40,'perhitungan individu'!$G270,Index!$I$15:$I$40)*Index!$E$7</f>
        <v>0</v>
      </c>
      <c r="N270" s="44">
        <f>SUMIF(Index!$K$15:$K$40,'perhitungan individu'!$G270,Index!$L$15:$L$40)*Index!$E$8</f>
        <v>0</v>
      </c>
      <c r="O270" s="44">
        <f>SUMIF(Index!$M$15:$M$40,'perhitungan individu'!H270,Index!$N$15:$N$40)*Index!$E$9</f>
        <v>0</v>
      </c>
      <c r="P270" s="44">
        <f>SUMIF('Kinera Unit Kerja'!$B$4:$B$20,'perhitungan individu'!$G270,'Kinera Unit Kerja'!$G$4:$G$20)*Index!$E$10</f>
        <v>0</v>
      </c>
      <c r="Q270" s="44">
        <f>I270*Index!$E$11</f>
        <v>0</v>
      </c>
      <c r="R270" s="47">
        <f t="shared" si="7"/>
        <v>0</v>
      </c>
      <c r="S270" s="48">
        <f t="shared" si="6"/>
        <v>0</v>
      </c>
    </row>
    <row r="271" spans="1:19">
      <c r="A271" s="42"/>
      <c r="B271" s="33"/>
      <c r="C271" s="33"/>
      <c r="D271" s="43"/>
      <c r="E271" s="33"/>
      <c r="F271" s="33"/>
      <c r="G271" s="33"/>
      <c r="H271" s="33"/>
      <c r="I271" s="33"/>
      <c r="J271" s="44">
        <f>(D271/100000)*Index!$E$4</f>
        <v>0</v>
      </c>
      <c r="K271" s="44">
        <f>SUMIF(Index!$C$15:$C$40,'perhitungan individu'!E271,Index!$D$15:$D$40)*Index!$E$5</f>
        <v>0</v>
      </c>
      <c r="L271" s="44">
        <f>SUMIF(Index!$E$15:$E$40,'perhitungan individu'!F271,Index!F$15:F$40)*Index!$E$6</f>
        <v>0</v>
      </c>
      <c r="M271" s="44">
        <f>SUMIF(Index!$H$15:$H$40,'perhitungan individu'!$G271,Index!$I$15:$I$40)*Index!$E$7</f>
        <v>0</v>
      </c>
      <c r="N271" s="44">
        <f>SUMIF(Index!$K$15:$K$40,'perhitungan individu'!$G271,Index!$L$15:$L$40)*Index!$E$8</f>
        <v>0</v>
      </c>
      <c r="O271" s="44">
        <f>SUMIF(Index!$M$15:$M$40,'perhitungan individu'!H271,Index!$N$15:$N$40)*Index!$E$9</f>
        <v>0</v>
      </c>
      <c r="P271" s="44">
        <f>SUMIF('Kinera Unit Kerja'!$B$4:$B$20,'perhitungan individu'!$G271,'Kinera Unit Kerja'!$G$4:$G$20)*Index!$E$10</f>
        <v>0</v>
      </c>
      <c r="Q271" s="44">
        <f>I271*Index!$E$11</f>
        <v>0</v>
      </c>
      <c r="R271" s="47">
        <f t="shared" si="7"/>
        <v>0</v>
      </c>
      <c r="S271" s="48">
        <f t="shared" si="6"/>
        <v>0</v>
      </c>
    </row>
    <row r="272" spans="1:19">
      <c r="A272" s="42"/>
      <c r="B272" s="33"/>
      <c r="C272" s="33"/>
      <c r="D272" s="43"/>
      <c r="E272" s="33"/>
      <c r="F272" s="33"/>
      <c r="G272" s="33"/>
      <c r="H272" s="33"/>
      <c r="I272" s="33"/>
      <c r="J272" s="44">
        <f>(D272/100000)*Index!$E$4</f>
        <v>0</v>
      </c>
      <c r="K272" s="44">
        <f>SUMIF(Index!$C$15:$C$40,'perhitungan individu'!E272,Index!$D$15:$D$40)*Index!$E$5</f>
        <v>0</v>
      </c>
      <c r="L272" s="44">
        <f>SUMIF(Index!$E$15:$E$40,'perhitungan individu'!F272,Index!F$15:F$40)*Index!$E$6</f>
        <v>0</v>
      </c>
      <c r="M272" s="44">
        <f>SUMIF(Index!$H$15:$H$40,'perhitungan individu'!$G272,Index!$I$15:$I$40)*Index!$E$7</f>
        <v>0</v>
      </c>
      <c r="N272" s="44">
        <f>SUMIF(Index!$K$15:$K$40,'perhitungan individu'!$G272,Index!$L$15:$L$40)*Index!$E$8</f>
        <v>0</v>
      </c>
      <c r="O272" s="44">
        <f>SUMIF(Index!$M$15:$M$40,'perhitungan individu'!H272,Index!$N$15:$N$40)*Index!$E$9</f>
        <v>0</v>
      </c>
      <c r="P272" s="44">
        <f>SUMIF('Kinera Unit Kerja'!$B$4:$B$20,'perhitungan individu'!$G272,'Kinera Unit Kerja'!$G$4:$G$20)*Index!$E$10</f>
        <v>0</v>
      </c>
      <c r="Q272" s="44">
        <f>I272*Index!$E$11</f>
        <v>0</v>
      </c>
      <c r="R272" s="47">
        <f t="shared" si="7"/>
        <v>0</v>
      </c>
      <c r="S272" s="48">
        <f t="shared" si="6"/>
        <v>0</v>
      </c>
    </row>
    <row r="273" spans="1:19">
      <c r="A273" s="42"/>
      <c r="B273" s="33"/>
      <c r="C273" s="33"/>
      <c r="D273" s="43"/>
      <c r="E273" s="33"/>
      <c r="F273" s="33"/>
      <c r="G273" s="33"/>
      <c r="H273" s="33"/>
      <c r="I273" s="33"/>
      <c r="J273" s="44">
        <f>(D273/100000)*Index!$E$4</f>
        <v>0</v>
      </c>
      <c r="K273" s="44">
        <f>SUMIF(Index!$C$15:$C$40,'perhitungan individu'!E273,Index!$D$15:$D$40)*Index!$E$5</f>
        <v>0</v>
      </c>
      <c r="L273" s="44">
        <f>SUMIF(Index!$E$15:$E$40,'perhitungan individu'!F273,Index!F$15:F$40)*Index!$E$6</f>
        <v>0</v>
      </c>
      <c r="M273" s="44">
        <f>SUMIF(Index!$H$15:$H$40,'perhitungan individu'!$G273,Index!$I$15:$I$40)*Index!$E$7</f>
        <v>0</v>
      </c>
      <c r="N273" s="44">
        <f>SUMIF(Index!$K$15:$K$40,'perhitungan individu'!$G273,Index!$L$15:$L$40)*Index!$E$8</f>
        <v>0</v>
      </c>
      <c r="O273" s="44">
        <f>SUMIF(Index!$M$15:$M$40,'perhitungan individu'!H273,Index!$N$15:$N$40)*Index!$E$9</f>
        <v>0</v>
      </c>
      <c r="P273" s="44">
        <f>SUMIF('Kinera Unit Kerja'!$B$4:$B$20,'perhitungan individu'!$G273,'Kinera Unit Kerja'!$G$4:$G$20)*Index!$E$10</f>
        <v>0</v>
      </c>
      <c r="Q273" s="44">
        <f>I273*Index!$E$11</f>
        <v>0</v>
      </c>
      <c r="R273" s="47">
        <f t="shared" si="7"/>
        <v>0</v>
      </c>
      <c r="S273" s="48">
        <f t="shared" si="6"/>
        <v>0</v>
      </c>
    </row>
    <row r="274" spans="1:19">
      <c r="A274" s="42"/>
      <c r="B274" s="33"/>
      <c r="C274" s="33"/>
      <c r="D274" s="43"/>
      <c r="E274" s="33"/>
      <c r="F274" s="33"/>
      <c r="G274" s="33"/>
      <c r="H274" s="33"/>
      <c r="I274" s="33"/>
      <c r="J274" s="44">
        <f>(D274/100000)*Index!$E$4</f>
        <v>0</v>
      </c>
      <c r="K274" s="44">
        <f>SUMIF(Index!$C$15:$C$40,'perhitungan individu'!E274,Index!$D$15:$D$40)*Index!$E$5</f>
        <v>0</v>
      </c>
      <c r="L274" s="44">
        <f>SUMIF(Index!$E$15:$E$40,'perhitungan individu'!F274,Index!F$15:F$40)*Index!$E$6</f>
        <v>0</v>
      </c>
      <c r="M274" s="44">
        <f>SUMIF(Index!$H$15:$H$40,'perhitungan individu'!$G274,Index!$I$15:$I$40)*Index!$E$7</f>
        <v>0</v>
      </c>
      <c r="N274" s="44">
        <f>SUMIF(Index!$K$15:$K$40,'perhitungan individu'!$G274,Index!$L$15:$L$40)*Index!$E$8</f>
        <v>0</v>
      </c>
      <c r="O274" s="44">
        <f>SUMIF(Index!$M$15:$M$40,'perhitungan individu'!H274,Index!$N$15:$N$40)*Index!$E$9</f>
        <v>0</v>
      </c>
      <c r="P274" s="44">
        <f>SUMIF('Kinera Unit Kerja'!$B$4:$B$20,'perhitungan individu'!$G274,'Kinera Unit Kerja'!$G$4:$G$20)*Index!$E$10</f>
        <v>0</v>
      </c>
      <c r="Q274" s="44">
        <f>I274*Index!$E$11</f>
        <v>0</v>
      </c>
      <c r="R274" s="47">
        <f t="shared" si="7"/>
        <v>0</v>
      </c>
      <c r="S274" s="48">
        <f t="shared" si="6"/>
        <v>0</v>
      </c>
    </row>
    <row r="275" spans="1:19">
      <c r="A275" s="42"/>
      <c r="B275" s="33"/>
      <c r="C275" s="33"/>
      <c r="D275" s="43"/>
      <c r="E275" s="33"/>
      <c r="F275" s="33"/>
      <c r="G275" s="33"/>
      <c r="H275" s="33"/>
      <c r="I275" s="33"/>
      <c r="J275" s="44">
        <f>(D275/100000)*Index!$E$4</f>
        <v>0</v>
      </c>
      <c r="K275" s="44">
        <f>SUMIF(Index!$C$15:$C$40,'perhitungan individu'!E275,Index!$D$15:$D$40)*Index!$E$5</f>
        <v>0</v>
      </c>
      <c r="L275" s="44">
        <f>SUMIF(Index!$E$15:$E$40,'perhitungan individu'!F275,Index!F$15:F$40)*Index!$E$6</f>
        <v>0</v>
      </c>
      <c r="M275" s="44">
        <f>SUMIF(Index!$H$15:$H$40,'perhitungan individu'!$G275,Index!$I$15:$I$40)*Index!$E$7</f>
        <v>0</v>
      </c>
      <c r="N275" s="44">
        <f>SUMIF(Index!$K$15:$K$40,'perhitungan individu'!$G275,Index!$L$15:$L$40)*Index!$E$8</f>
        <v>0</v>
      </c>
      <c r="O275" s="44">
        <f>SUMIF(Index!$M$15:$M$40,'perhitungan individu'!H275,Index!$N$15:$N$40)*Index!$E$9</f>
        <v>0</v>
      </c>
      <c r="P275" s="44">
        <f>SUMIF('Kinera Unit Kerja'!$B$4:$B$20,'perhitungan individu'!$G275,'Kinera Unit Kerja'!$G$4:$G$20)*Index!$E$10</f>
        <v>0</v>
      </c>
      <c r="Q275" s="44">
        <f>I275*Index!$E$11</f>
        <v>0</v>
      </c>
      <c r="R275" s="47">
        <f t="shared" si="7"/>
        <v>0</v>
      </c>
      <c r="S275" s="48">
        <f t="shared" si="6"/>
        <v>0</v>
      </c>
    </row>
    <row r="276" spans="1:19">
      <c r="A276" s="42"/>
      <c r="B276" s="33"/>
      <c r="C276" s="33"/>
      <c r="D276" s="43"/>
      <c r="E276" s="33"/>
      <c r="F276" s="33"/>
      <c r="G276" s="33"/>
      <c r="H276" s="33"/>
      <c r="I276" s="33"/>
      <c r="J276" s="44">
        <f>(D276/100000)*Index!$E$4</f>
        <v>0</v>
      </c>
      <c r="K276" s="44">
        <f>SUMIF(Index!$C$15:$C$40,'perhitungan individu'!E276,Index!$D$15:$D$40)*Index!$E$5</f>
        <v>0</v>
      </c>
      <c r="L276" s="44">
        <f>SUMIF(Index!$E$15:$E$40,'perhitungan individu'!F276,Index!F$15:F$40)*Index!$E$6</f>
        <v>0</v>
      </c>
      <c r="M276" s="44">
        <f>SUMIF(Index!$H$15:$H$40,'perhitungan individu'!$G276,Index!$I$15:$I$40)*Index!$E$7</f>
        <v>0</v>
      </c>
      <c r="N276" s="44">
        <f>SUMIF(Index!$K$15:$K$40,'perhitungan individu'!$G276,Index!$L$15:$L$40)*Index!$E$8</f>
        <v>0</v>
      </c>
      <c r="O276" s="44">
        <f>SUMIF(Index!$M$15:$M$40,'perhitungan individu'!H276,Index!$N$15:$N$40)*Index!$E$9</f>
        <v>0</v>
      </c>
      <c r="P276" s="44">
        <f>SUMIF('Kinera Unit Kerja'!$B$4:$B$20,'perhitungan individu'!$G276,'Kinera Unit Kerja'!$G$4:$G$20)*Index!$E$10</f>
        <v>0</v>
      </c>
      <c r="Q276" s="44">
        <f>I276*Index!$E$11</f>
        <v>0</v>
      </c>
      <c r="R276" s="47">
        <f t="shared" si="7"/>
        <v>0</v>
      </c>
      <c r="S276" s="48">
        <f t="shared" si="6"/>
        <v>0</v>
      </c>
    </row>
    <row r="277" spans="1:19">
      <c r="A277" s="42"/>
      <c r="B277" s="33"/>
      <c r="C277" s="33"/>
      <c r="D277" s="43"/>
      <c r="E277" s="33"/>
      <c r="F277" s="33"/>
      <c r="G277" s="33"/>
      <c r="H277" s="33"/>
      <c r="I277" s="33"/>
      <c r="J277" s="44">
        <f>(D277/100000)*Index!$E$4</f>
        <v>0</v>
      </c>
      <c r="K277" s="44">
        <f>SUMIF(Index!$C$15:$C$40,'perhitungan individu'!E277,Index!$D$15:$D$40)*Index!$E$5</f>
        <v>0</v>
      </c>
      <c r="L277" s="44">
        <f>SUMIF(Index!$E$15:$E$40,'perhitungan individu'!F277,Index!F$15:F$40)*Index!$E$6</f>
        <v>0</v>
      </c>
      <c r="M277" s="44">
        <f>SUMIF(Index!$H$15:$H$40,'perhitungan individu'!$G277,Index!$I$15:$I$40)*Index!$E$7</f>
        <v>0</v>
      </c>
      <c r="N277" s="44">
        <f>SUMIF(Index!$K$15:$K$40,'perhitungan individu'!$G277,Index!$L$15:$L$40)*Index!$E$8</f>
        <v>0</v>
      </c>
      <c r="O277" s="44">
        <f>SUMIF(Index!$M$15:$M$40,'perhitungan individu'!H277,Index!$N$15:$N$40)*Index!$E$9</f>
        <v>0</v>
      </c>
      <c r="P277" s="44">
        <f>SUMIF('Kinera Unit Kerja'!$B$4:$B$20,'perhitungan individu'!$G277,'Kinera Unit Kerja'!$G$4:$G$20)*Index!$E$10</f>
        <v>0</v>
      </c>
      <c r="Q277" s="44">
        <f>I277*Index!$E$11</f>
        <v>0</v>
      </c>
      <c r="R277" s="47">
        <f t="shared" si="7"/>
        <v>0</v>
      </c>
      <c r="S277" s="48">
        <f t="shared" si="6"/>
        <v>0</v>
      </c>
    </row>
    <row r="278" spans="1:19">
      <c r="A278" s="42"/>
      <c r="B278" s="33"/>
      <c r="C278" s="33"/>
      <c r="D278" s="43"/>
      <c r="E278" s="33"/>
      <c r="F278" s="33"/>
      <c r="G278" s="33"/>
      <c r="H278" s="33"/>
      <c r="I278" s="33"/>
      <c r="J278" s="44">
        <f>(D278/100000)*Index!$E$4</f>
        <v>0</v>
      </c>
      <c r="K278" s="44">
        <f>SUMIF(Index!$C$15:$C$40,'perhitungan individu'!E278,Index!$D$15:$D$40)*Index!$E$5</f>
        <v>0</v>
      </c>
      <c r="L278" s="44">
        <f>SUMIF(Index!$E$15:$E$40,'perhitungan individu'!F278,Index!F$15:F$40)*Index!$E$6</f>
        <v>0</v>
      </c>
      <c r="M278" s="44">
        <f>SUMIF(Index!$H$15:$H$40,'perhitungan individu'!$G278,Index!$I$15:$I$40)*Index!$E$7</f>
        <v>0</v>
      </c>
      <c r="N278" s="44">
        <f>SUMIF(Index!$K$15:$K$40,'perhitungan individu'!$G278,Index!$L$15:$L$40)*Index!$E$8</f>
        <v>0</v>
      </c>
      <c r="O278" s="44">
        <f>SUMIF(Index!$M$15:$M$40,'perhitungan individu'!H278,Index!$N$15:$N$40)*Index!$E$9</f>
        <v>0</v>
      </c>
      <c r="P278" s="44">
        <f>SUMIF('Kinera Unit Kerja'!$B$4:$B$20,'perhitungan individu'!$G278,'Kinera Unit Kerja'!$G$4:$G$20)*Index!$E$10</f>
        <v>0</v>
      </c>
      <c r="Q278" s="44">
        <f>I278*Index!$E$11</f>
        <v>0</v>
      </c>
      <c r="R278" s="47">
        <f t="shared" si="7"/>
        <v>0</v>
      </c>
      <c r="S278" s="48">
        <f t="shared" si="6"/>
        <v>0</v>
      </c>
    </row>
    <row r="279" spans="1:19">
      <c r="A279" s="42"/>
      <c r="B279" s="33"/>
      <c r="C279" s="33"/>
      <c r="D279" s="43"/>
      <c r="E279" s="33"/>
      <c r="F279" s="33"/>
      <c r="G279" s="33"/>
      <c r="H279" s="33"/>
      <c r="I279" s="33"/>
      <c r="J279" s="44">
        <f>(D279/100000)*Index!$E$4</f>
        <v>0</v>
      </c>
      <c r="K279" s="44">
        <f>SUMIF(Index!$C$15:$C$40,'perhitungan individu'!E279,Index!$D$15:$D$40)*Index!$E$5</f>
        <v>0</v>
      </c>
      <c r="L279" s="44">
        <f>SUMIF(Index!$E$15:$E$40,'perhitungan individu'!F279,Index!F$15:F$40)*Index!$E$6</f>
        <v>0</v>
      </c>
      <c r="M279" s="44">
        <f>SUMIF(Index!$H$15:$H$40,'perhitungan individu'!$G279,Index!$I$15:$I$40)*Index!$E$7</f>
        <v>0</v>
      </c>
      <c r="N279" s="44">
        <f>SUMIF(Index!$K$15:$K$40,'perhitungan individu'!$G279,Index!$L$15:$L$40)*Index!$E$8</f>
        <v>0</v>
      </c>
      <c r="O279" s="44">
        <f>SUMIF(Index!$M$15:$M$40,'perhitungan individu'!H279,Index!$N$15:$N$40)*Index!$E$9</f>
        <v>0</v>
      </c>
      <c r="P279" s="44">
        <f>SUMIF('Kinera Unit Kerja'!$B$4:$B$20,'perhitungan individu'!$G279,'Kinera Unit Kerja'!$G$4:$G$20)*Index!$E$10</f>
        <v>0</v>
      </c>
      <c r="Q279" s="44">
        <f>I279*Index!$E$11</f>
        <v>0</v>
      </c>
      <c r="R279" s="47">
        <f t="shared" si="7"/>
        <v>0</v>
      </c>
      <c r="S279" s="48">
        <f t="shared" si="6"/>
        <v>0</v>
      </c>
    </row>
    <row r="280" spans="1:19">
      <c r="A280" s="42"/>
      <c r="B280" s="33"/>
      <c r="C280" s="33"/>
      <c r="D280" s="43"/>
      <c r="E280" s="33"/>
      <c r="F280" s="33"/>
      <c r="G280" s="33"/>
      <c r="H280" s="33"/>
      <c r="I280" s="33"/>
      <c r="J280" s="44">
        <f>(D280/100000)*Index!$E$4</f>
        <v>0</v>
      </c>
      <c r="K280" s="44">
        <f>SUMIF(Index!$C$15:$C$40,'perhitungan individu'!E280,Index!$D$15:$D$40)*Index!$E$5</f>
        <v>0</v>
      </c>
      <c r="L280" s="44">
        <f>SUMIF(Index!$E$15:$E$40,'perhitungan individu'!F280,Index!F$15:F$40)*Index!$E$6</f>
        <v>0</v>
      </c>
      <c r="M280" s="44">
        <f>SUMIF(Index!$H$15:$H$40,'perhitungan individu'!$G280,Index!$I$15:$I$40)*Index!$E$7</f>
        <v>0</v>
      </c>
      <c r="N280" s="44">
        <f>SUMIF(Index!$K$15:$K$40,'perhitungan individu'!$G280,Index!$L$15:$L$40)*Index!$E$8</f>
        <v>0</v>
      </c>
      <c r="O280" s="44">
        <f>SUMIF(Index!$M$15:$M$40,'perhitungan individu'!H280,Index!$N$15:$N$40)*Index!$E$9</f>
        <v>0</v>
      </c>
      <c r="P280" s="44">
        <f>SUMIF('Kinera Unit Kerja'!$B$4:$B$20,'perhitungan individu'!$G280,'Kinera Unit Kerja'!$G$4:$G$20)*Index!$E$10</f>
        <v>0</v>
      </c>
      <c r="Q280" s="44">
        <f>I280*Index!$E$11</f>
        <v>0</v>
      </c>
      <c r="R280" s="47">
        <f t="shared" si="7"/>
        <v>0</v>
      </c>
      <c r="S280" s="48">
        <f t="shared" si="6"/>
        <v>0</v>
      </c>
    </row>
    <row r="281" spans="1:19">
      <c r="A281" s="42"/>
      <c r="B281" s="33"/>
      <c r="C281" s="33"/>
      <c r="D281" s="43"/>
      <c r="E281" s="33"/>
      <c r="F281" s="33"/>
      <c r="G281" s="33"/>
      <c r="H281" s="33"/>
      <c r="I281" s="33"/>
      <c r="J281" s="44">
        <f>(D281/100000)*Index!$E$4</f>
        <v>0</v>
      </c>
      <c r="K281" s="44">
        <f>SUMIF(Index!$C$15:$C$40,'perhitungan individu'!E281,Index!$D$15:$D$40)*Index!$E$5</f>
        <v>0</v>
      </c>
      <c r="L281" s="44">
        <f>SUMIF(Index!$E$15:$E$40,'perhitungan individu'!F281,Index!F$15:F$40)*Index!$E$6</f>
        <v>0</v>
      </c>
      <c r="M281" s="44">
        <f>SUMIF(Index!$H$15:$H$40,'perhitungan individu'!$G281,Index!$I$15:$I$40)*Index!$E$7</f>
        <v>0</v>
      </c>
      <c r="N281" s="44">
        <f>SUMIF(Index!$K$15:$K$40,'perhitungan individu'!$G281,Index!$L$15:$L$40)*Index!$E$8</f>
        <v>0</v>
      </c>
      <c r="O281" s="44">
        <f>SUMIF(Index!$M$15:$M$40,'perhitungan individu'!H281,Index!$N$15:$N$40)*Index!$E$9</f>
        <v>0</v>
      </c>
      <c r="P281" s="44">
        <f>SUMIF('Kinera Unit Kerja'!$B$4:$B$20,'perhitungan individu'!$G281,'Kinera Unit Kerja'!$G$4:$G$20)*Index!$E$10</f>
        <v>0</v>
      </c>
      <c r="Q281" s="44">
        <f>I281*Index!$E$11</f>
        <v>0</v>
      </c>
      <c r="R281" s="47">
        <f t="shared" si="7"/>
        <v>0</v>
      </c>
      <c r="S281" s="48">
        <f t="shared" si="6"/>
        <v>0</v>
      </c>
    </row>
    <row r="282" spans="1:19">
      <c r="A282" s="42"/>
      <c r="B282" s="33"/>
      <c r="C282" s="33"/>
      <c r="D282" s="43"/>
      <c r="E282" s="33"/>
      <c r="F282" s="33"/>
      <c r="G282" s="33"/>
      <c r="H282" s="33"/>
      <c r="I282" s="33"/>
      <c r="J282" s="44">
        <f>(D282/100000)*Index!$E$4</f>
        <v>0</v>
      </c>
      <c r="K282" s="44">
        <f>SUMIF(Index!$C$15:$C$40,'perhitungan individu'!E282,Index!$D$15:$D$40)*Index!$E$5</f>
        <v>0</v>
      </c>
      <c r="L282" s="44">
        <f>SUMIF(Index!$E$15:$E$40,'perhitungan individu'!F282,Index!F$15:F$40)*Index!$E$6</f>
        <v>0</v>
      </c>
      <c r="M282" s="44">
        <f>SUMIF(Index!$H$15:$H$40,'perhitungan individu'!$G282,Index!$I$15:$I$40)*Index!$E$7</f>
        <v>0</v>
      </c>
      <c r="N282" s="44">
        <f>SUMIF(Index!$K$15:$K$40,'perhitungan individu'!$G282,Index!$L$15:$L$40)*Index!$E$8</f>
        <v>0</v>
      </c>
      <c r="O282" s="44">
        <f>SUMIF(Index!$M$15:$M$40,'perhitungan individu'!H282,Index!$N$15:$N$40)*Index!$E$9</f>
        <v>0</v>
      </c>
      <c r="P282" s="44">
        <f>SUMIF('Kinera Unit Kerja'!$B$4:$B$20,'perhitungan individu'!$G282,'Kinera Unit Kerja'!$G$4:$G$20)*Index!$E$10</f>
        <v>0</v>
      </c>
      <c r="Q282" s="44">
        <f>I282*Index!$E$11</f>
        <v>0</v>
      </c>
      <c r="R282" s="47">
        <f t="shared" si="7"/>
        <v>0</v>
      </c>
      <c r="S282" s="48">
        <f t="shared" si="6"/>
        <v>0</v>
      </c>
    </row>
    <row r="283" spans="1:19">
      <c r="A283" s="42"/>
      <c r="B283" s="33"/>
      <c r="C283" s="33"/>
      <c r="D283" s="43"/>
      <c r="E283" s="33"/>
      <c r="F283" s="33"/>
      <c r="G283" s="33"/>
      <c r="H283" s="33"/>
      <c r="I283" s="33"/>
      <c r="J283" s="44">
        <f>(D283/100000)*Index!$E$4</f>
        <v>0</v>
      </c>
      <c r="K283" s="44">
        <f>SUMIF(Index!$C$15:$C$40,'perhitungan individu'!E283,Index!$D$15:$D$40)*Index!$E$5</f>
        <v>0</v>
      </c>
      <c r="L283" s="44">
        <f>SUMIF(Index!$E$15:$E$40,'perhitungan individu'!F283,Index!F$15:F$40)*Index!$E$6</f>
        <v>0</v>
      </c>
      <c r="M283" s="44">
        <f>SUMIF(Index!$H$15:$H$40,'perhitungan individu'!$G283,Index!$I$15:$I$40)*Index!$E$7</f>
        <v>0</v>
      </c>
      <c r="N283" s="44">
        <f>SUMIF(Index!$K$15:$K$40,'perhitungan individu'!$G283,Index!$L$15:$L$40)*Index!$E$8</f>
        <v>0</v>
      </c>
      <c r="O283" s="44">
        <f>SUMIF(Index!$M$15:$M$40,'perhitungan individu'!H283,Index!$N$15:$N$40)*Index!$E$9</f>
        <v>0</v>
      </c>
      <c r="P283" s="44">
        <f>SUMIF('Kinera Unit Kerja'!$B$4:$B$20,'perhitungan individu'!$G283,'Kinera Unit Kerja'!$G$4:$G$20)*Index!$E$10</f>
        <v>0</v>
      </c>
      <c r="Q283" s="44">
        <f>I283*Index!$E$11</f>
        <v>0</v>
      </c>
      <c r="R283" s="47">
        <f t="shared" si="7"/>
        <v>0</v>
      </c>
      <c r="S283" s="48">
        <f t="shared" si="6"/>
        <v>0</v>
      </c>
    </row>
    <row r="284" spans="1:19">
      <c r="A284" s="42"/>
      <c r="B284" s="33"/>
      <c r="C284" s="33"/>
      <c r="D284" s="43"/>
      <c r="E284" s="33"/>
      <c r="F284" s="33"/>
      <c r="G284" s="33"/>
      <c r="H284" s="33"/>
      <c r="I284" s="33"/>
      <c r="J284" s="44">
        <f>(D284/100000)*Index!$E$4</f>
        <v>0</v>
      </c>
      <c r="K284" s="44">
        <f>SUMIF(Index!$C$15:$C$40,'perhitungan individu'!E284,Index!$D$15:$D$40)*Index!$E$5</f>
        <v>0</v>
      </c>
      <c r="L284" s="44">
        <f>SUMIF(Index!$E$15:$E$40,'perhitungan individu'!F284,Index!F$15:F$40)*Index!$E$6</f>
        <v>0</v>
      </c>
      <c r="M284" s="44">
        <f>SUMIF(Index!$H$15:$H$40,'perhitungan individu'!$G284,Index!$I$15:$I$40)*Index!$E$7</f>
        <v>0</v>
      </c>
      <c r="N284" s="44">
        <f>SUMIF(Index!$K$15:$K$40,'perhitungan individu'!$G284,Index!$L$15:$L$40)*Index!$E$8</f>
        <v>0</v>
      </c>
      <c r="O284" s="44">
        <f>SUMIF(Index!$M$15:$M$40,'perhitungan individu'!H284,Index!$N$15:$N$40)*Index!$E$9</f>
        <v>0</v>
      </c>
      <c r="P284" s="44">
        <f>SUMIF('Kinera Unit Kerja'!$B$4:$B$20,'perhitungan individu'!$G284,'Kinera Unit Kerja'!$G$4:$G$20)*Index!$E$10</f>
        <v>0</v>
      </c>
      <c r="Q284" s="44">
        <f>I284*Index!$E$11</f>
        <v>0</v>
      </c>
      <c r="R284" s="47">
        <f t="shared" si="7"/>
        <v>0</v>
      </c>
      <c r="S284" s="48">
        <f t="shared" si="6"/>
        <v>0</v>
      </c>
    </row>
    <row r="285" spans="1:19">
      <c r="A285" s="42"/>
      <c r="B285" s="33"/>
      <c r="C285" s="33"/>
      <c r="D285" s="43"/>
      <c r="E285" s="33"/>
      <c r="F285" s="33"/>
      <c r="G285" s="33"/>
      <c r="H285" s="33"/>
      <c r="I285" s="33"/>
      <c r="J285" s="44">
        <f>(D285/100000)*Index!$E$4</f>
        <v>0</v>
      </c>
      <c r="K285" s="44">
        <f>SUMIF(Index!$C$15:$C$40,'perhitungan individu'!E285,Index!$D$15:$D$40)*Index!$E$5</f>
        <v>0</v>
      </c>
      <c r="L285" s="44">
        <f>SUMIF(Index!$E$15:$E$40,'perhitungan individu'!F285,Index!F$15:F$40)*Index!$E$6</f>
        <v>0</v>
      </c>
      <c r="M285" s="44">
        <f>SUMIF(Index!$H$15:$H$40,'perhitungan individu'!$G285,Index!$I$15:$I$40)*Index!$E$7</f>
        <v>0</v>
      </c>
      <c r="N285" s="44">
        <f>SUMIF(Index!$K$15:$K$40,'perhitungan individu'!$G285,Index!$L$15:$L$40)*Index!$E$8</f>
        <v>0</v>
      </c>
      <c r="O285" s="44">
        <f>SUMIF(Index!$M$15:$M$40,'perhitungan individu'!H285,Index!$N$15:$N$40)*Index!$E$9</f>
        <v>0</v>
      </c>
      <c r="P285" s="44">
        <f>SUMIF('Kinera Unit Kerja'!$B$4:$B$20,'perhitungan individu'!$G285,'Kinera Unit Kerja'!$G$4:$G$20)*Index!$E$10</f>
        <v>0</v>
      </c>
      <c r="Q285" s="44">
        <f>I285*Index!$E$11</f>
        <v>0</v>
      </c>
      <c r="R285" s="47">
        <f t="shared" si="7"/>
        <v>0</v>
      </c>
      <c r="S285" s="48">
        <f t="shared" si="6"/>
        <v>0</v>
      </c>
    </row>
    <row r="286" spans="1:19">
      <c r="A286" s="42"/>
      <c r="B286" s="33"/>
      <c r="C286" s="33"/>
      <c r="D286" s="43"/>
      <c r="E286" s="33"/>
      <c r="F286" s="33"/>
      <c r="G286" s="33"/>
      <c r="H286" s="33"/>
      <c r="I286" s="33"/>
      <c r="J286" s="44">
        <f>(D286/100000)*Index!$E$4</f>
        <v>0</v>
      </c>
      <c r="K286" s="44">
        <f>SUMIF(Index!$C$15:$C$40,'perhitungan individu'!E286,Index!$D$15:$D$40)*Index!$E$5</f>
        <v>0</v>
      </c>
      <c r="L286" s="44">
        <f>SUMIF(Index!$E$15:$E$40,'perhitungan individu'!F286,Index!F$15:F$40)*Index!$E$6</f>
        <v>0</v>
      </c>
      <c r="M286" s="44">
        <f>SUMIF(Index!$H$15:$H$40,'perhitungan individu'!$G286,Index!$I$15:$I$40)*Index!$E$7</f>
        <v>0</v>
      </c>
      <c r="N286" s="44">
        <f>SUMIF(Index!$K$15:$K$40,'perhitungan individu'!$G286,Index!$L$15:$L$40)*Index!$E$8</f>
        <v>0</v>
      </c>
      <c r="O286" s="44">
        <f>SUMIF(Index!$M$15:$M$40,'perhitungan individu'!H286,Index!$N$15:$N$40)*Index!$E$9</f>
        <v>0</v>
      </c>
      <c r="P286" s="44">
        <f>SUMIF('Kinera Unit Kerja'!$B$4:$B$20,'perhitungan individu'!$G286,'Kinera Unit Kerja'!$G$4:$G$20)*Index!$E$10</f>
        <v>0</v>
      </c>
      <c r="Q286" s="44">
        <f>I286*Index!$E$11</f>
        <v>0</v>
      </c>
      <c r="R286" s="47">
        <f t="shared" si="7"/>
        <v>0</v>
      </c>
      <c r="S286" s="48">
        <f t="shared" si="6"/>
        <v>0</v>
      </c>
    </row>
    <row r="287" spans="1:19">
      <c r="A287" s="42"/>
      <c r="B287" s="33"/>
      <c r="C287" s="33"/>
      <c r="D287" s="43"/>
      <c r="E287" s="33"/>
      <c r="F287" s="33"/>
      <c r="G287" s="33"/>
      <c r="H287" s="33"/>
      <c r="I287" s="33"/>
      <c r="J287" s="44">
        <f>(D287/100000)*Index!$E$4</f>
        <v>0</v>
      </c>
      <c r="K287" s="44">
        <f>SUMIF(Index!$C$15:$C$40,'perhitungan individu'!E287,Index!$D$15:$D$40)*Index!$E$5</f>
        <v>0</v>
      </c>
      <c r="L287" s="44">
        <f>SUMIF(Index!$E$15:$E$40,'perhitungan individu'!F287,Index!F$15:F$40)*Index!$E$6</f>
        <v>0</v>
      </c>
      <c r="M287" s="44">
        <f>SUMIF(Index!$H$15:$H$40,'perhitungan individu'!$G287,Index!$I$15:$I$40)*Index!$E$7</f>
        <v>0</v>
      </c>
      <c r="N287" s="44">
        <f>SUMIF(Index!$K$15:$K$40,'perhitungan individu'!$G287,Index!$L$15:$L$40)*Index!$E$8</f>
        <v>0</v>
      </c>
      <c r="O287" s="44">
        <f>SUMIF(Index!$M$15:$M$40,'perhitungan individu'!H287,Index!$N$15:$N$40)*Index!$E$9</f>
        <v>0</v>
      </c>
      <c r="P287" s="44">
        <f>SUMIF('Kinera Unit Kerja'!$B$4:$B$20,'perhitungan individu'!$G287,'Kinera Unit Kerja'!$G$4:$G$20)*Index!$E$10</f>
        <v>0</v>
      </c>
      <c r="Q287" s="44">
        <f>I287*Index!$E$11</f>
        <v>0</v>
      </c>
      <c r="R287" s="47">
        <f t="shared" si="7"/>
        <v>0</v>
      </c>
      <c r="S287" s="48">
        <f t="shared" si="6"/>
        <v>0</v>
      </c>
    </row>
    <row r="288" spans="1:19">
      <c r="A288" s="42"/>
      <c r="B288" s="33"/>
      <c r="C288" s="33"/>
      <c r="D288" s="43"/>
      <c r="E288" s="33"/>
      <c r="F288" s="33"/>
      <c r="G288" s="33"/>
      <c r="H288" s="33"/>
      <c r="I288" s="33"/>
      <c r="J288" s="44">
        <f>(D288/100000)*Index!$E$4</f>
        <v>0</v>
      </c>
      <c r="K288" s="44">
        <f>SUMIF(Index!$C$15:$C$40,'perhitungan individu'!E288,Index!$D$15:$D$40)*Index!$E$5</f>
        <v>0</v>
      </c>
      <c r="L288" s="44">
        <f>SUMIF(Index!$E$15:$E$40,'perhitungan individu'!F288,Index!F$15:F$40)*Index!$E$6</f>
        <v>0</v>
      </c>
      <c r="M288" s="44">
        <f>SUMIF(Index!$H$15:$H$40,'perhitungan individu'!$G288,Index!$I$15:$I$40)*Index!$E$7</f>
        <v>0</v>
      </c>
      <c r="N288" s="44">
        <f>SUMIF(Index!$K$15:$K$40,'perhitungan individu'!$G288,Index!$L$15:$L$40)*Index!$E$8</f>
        <v>0</v>
      </c>
      <c r="O288" s="44">
        <f>SUMIF(Index!$M$15:$M$40,'perhitungan individu'!H288,Index!$N$15:$N$40)*Index!$E$9</f>
        <v>0</v>
      </c>
      <c r="P288" s="44">
        <f>SUMIF('Kinera Unit Kerja'!$B$4:$B$20,'perhitungan individu'!$G288,'Kinera Unit Kerja'!$G$4:$G$20)*Index!$E$10</f>
        <v>0</v>
      </c>
      <c r="Q288" s="44">
        <f>I288*Index!$E$11</f>
        <v>0</v>
      </c>
      <c r="R288" s="47">
        <f t="shared" si="7"/>
        <v>0</v>
      </c>
      <c r="S288" s="48">
        <f t="shared" ref="S288:S351" si="8">$B$29/$R$29*$R288</f>
        <v>0</v>
      </c>
    </row>
    <row r="289" spans="1:19">
      <c r="A289" s="42"/>
      <c r="B289" s="33"/>
      <c r="C289" s="33"/>
      <c r="D289" s="43"/>
      <c r="E289" s="33"/>
      <c r="F289" s="33"/>
      <c r="G289" s="33"/>
      <c r="H289" s="33"/>
      <c r="I289" s="33"/>
      <c r="J289" s="44">
        <f>(D289/100000)*Index!$E$4</f>
        <v>0</v>
      </c>
      <c r="K289" s="44">
        <f>SUMIF(Index!$C$15:$C$40,'perhitungan individu'!E289,Index!$D$15:$D$40)*Index!$E$5</f>
        <v>0</v>
      </c>
      <c r="L289" s="44">
        <f>SUMIF(Index!$E$15:$E$40,'perhitungan individu'!F289,Index!F$15:F$40)*Index!$E$6</f>
        <v>0</v>
      </c>
      <c r="M289" s="44">
        <f>SUMIF(Index!$H$15:$H$40,'perhitungan individu'!$G289,Index!$I$15:$I$40)*Index!$E$7</f>
        <v>0</v>
      </c>
      <c r="N289" s="44">
        <f>SUMIF(Index!$K$15:$K$40,'perhitungan individu'!$G289,Index!$L$15:$L$40)*Index!$E$8</f>
        <v>0</v>
      </c>
      <c r="O289" s="44">
        <f>SUMIF(Index!$M$15:$M$40,'perhitungan individu'!H289,Index!$N$15:$N$40)*Index!$E$9</f>
        <v>0</v>
      </c>
      <c r="P289" s="44">
        <f>SUMIF('Kinera Unit Kerja'!$B$4:$B$20,'perhitungan individu'!$G289,'Kinera Unit Kerja'!$G$4:$G$20)*Index!$E$10</f>
        <v>0</v>
      </c>
      <c r="Q289" s="44">
        <f>I289*Index!$E$11</f>
        <v>0</v>
      </c>
      <c r="R289" s="47">
        <f t="shared" si="7"/>
        <v>0</v>
      </c>
      <c r="S289" s="48">
        <f t="shared" si="8"/>
        <v>0</v>
      </c>
    </row>
    <row r="290" spans="1:19">
      <c r="A290" s="42"/>
      <c r="B290" s="33"/>
      <c r="C290" s="33"/>
      <c r="D290" s="43"/>
      <c r="E290" s="33"/>
      <c r="F290" s="33"/>
      <c r="G290" s="33"/>
      <c r="H290" s="33"/>
      <c r="I290" s="33"/>
      <c r="J290" s="44">
        <f>(D290/100000)*Index!$E$4</f>
        <v>0</v>
      </c>
      <c r="K290" s="44">
        <f>SUMIF(Index!$C$15:$C$40,'perhitungan individu'!E290,Index!$D$15:$D$40)*Index!$E$5</f>
        <v>0</v>
      </c>
      <c r="L290" s="44">
        <f>SUMIF(Index!$E$15:$E$40,'perhitungan individu'!F290,Index!F$15:F$40)*Index!$E$6</f>
        <v>0</v>
      </c>
      <c r="M290" s="44">
        <f>SUMIF(Index!$H$15:$H$40,'perhitungan individu'!$G290,Index!$I$15:$I$40)*Index!$E$7</f>
        <v>0</v>
      </c>
      <c r="N290" s="44">
        <f>SUMIF(Index!$K$15:$K$40,'perhitungan individu'!$G290,Index!$L$15:$L$40)*Index!$E$8</f>
        <v>0</v>
      </c>
      <c r="O290" s="44">
        <f>SUMIF(Index!$M$15:$M$40,'perhitungan individu'!H290,Index!$N$15:$N$40)*Index!$E$9</f>
        <v>0</v>
      </c>
      <c r="P290" s="44">
        <f>SUMIF('Kinera Unit Kerja'!$B$4:$B$20,'perhitungan individu'!$G290,'Kinera Unit Kerja'!$G$4:$G$20)*Index!$E$10</f>
        <v>0</v>
      </c>
      <c r="Q290" s="44">
        <f>I290*Index!$E$11</f>
        <v>0</v>
      </c>
      <c r="R290" s="47">
        <f t="shared" si="7"/>
        <v>0</v>
      </c>
      <c r="S290" s="48">
        <f t="shared" si="8"/>
        <v>0</v>
      </c>
    </row>
    <row r="291" spans="1:19">
      <c r="A291" s="42"/>
      <c r="B291" s="33"/>
      <c r="C291" s="33"/>
      <c r="D291" s="43"/>
      <c r="E291" s="33"/>
      <c r="F291" s="33"/>
      <c r="G291" s="33"/>
      <c r="H291" s="33"/>
      <c r="I291" s="33"/>
      <c r="J291" s="44">
        <f>(D291/100000)*Index!$E$4</f>
        <v>0</v>
      </c>
      <c r="K291" s="44">
        <f>SUMIF(Index!$C$15:$C$40,'perhitungan individu'!E291,Index!$D$15:$D$40)*Index!$E$5</f>
        <v>0</v>
      </c>
      <c r="L291" s="44">
        <f>SUMIF(Index!$E$15:$E$40,'perhitungan individu'!F291,Index!F$15:F$40)*Index!$E$6</f>
        <v>0</v>
      </c>
      <c r="M291" s="44">
        <f>SUMIF(Index!$H$15:$H$40,'perhitungan individu'!$G291,Index!$I$15:$I$40)*Index!$E$7</f>
        <v>0</v>
      </c>
      <c r="N291" s="44">
        <f>SUMIF(Index!$K$15:$K$40,'perhitungan individu'!$G291,Index!$L$15:$L$40)*Index!$E$8</f>
        <v>0</v>
      </c>
      <c r="O291" s="44">
        <f>SUMIF(Index!$M$15:$M$40,'perhitungan individu'!H291,Index!$N$15:$N$40)*Index!$E$9</f>
        <v>0</v>
      </c>
      <c r="P291" s="44">
        <f>SUMIF('Kinera Unit Kerja'!$B$4:$B$20,'perhitungan individu'!$G291,'Kinera Unit Kerja'!$G$4:$G$20)*Index!$E$10</f>
        <v>0</v>
      </c>
      <c r="Q291" s="44">
        <f>I291*Index!$E$11</f>
        <v>0</v>
      </c>
      <c r="R291" s="47">
        <f t="shared" ref="R291:R354" si="9">SUM(J291:Q291)</f>
        <v>0</v>
      </c>
      <c r="S291" s="48">
        <f t="shared" si="8"/>
        <v>0</v>
      </c>
    </row>
    <row r="292" spans="1:19">
      <c r="A292" s="42"/>
      <c r="B292" s="33"/>
      <c r="C292" s="33"/>
      <c r="D292" s="43"/>
      <c r="E292" s="33"/>
      <c r="F292" s="33"/>
      <c r="G292" s="33"/>
      <c r="H292" s="33"/>
      <c r="I292" s="33"/>
      <c r="J292" s="44">
        <f>(D292/100000)*Index!$E$4</f>
        <v>0</v>
      </c>
      <c r="K292" s="44">
        <f>SUMIF(Index!$C$15:$C$40,'perhitungan individu'!E292,Index!$D$15:$D$40)*Index!$E$5</f>
        <v>0</v>
      </c>
      <c r="L292" s="44">
        <f>SUMIF(Index!$E$15:$E$40,'perhitungan individu'!F292,Index!F$15:F$40)*Index!$E$6</f>
        <v>0</v>
      </c>
      <c r="M292" s="44">
        <f>SUMIF(Index!$H$15:$H$40,'perhitungan individu'!$G292,Index!$I$15:$I$40)*Index!$E$7</f>
        <v>0</v>
      </c>
      <c r="N292" s="44">
        <f>SUMIF(Index!$K$15:$K$40,'perhitungan individu'!$G292,Index!$L$15:$L$40)*Index!$E$8</f>
        <v>0</v>
      </c>
      <c r="O292" s="44">
        <f>SUMIF(Index!$M$15:$M$40,'perhitungan individu'!H292,Index!$N$15:$N$40)*Index!$E$9</f>
        <v>0</v>
      </c>
      <c r="P292" s="44">
        <f>SUMIF('Kinera Unit Kerja'!$B$4:$B$20,'perhitungan individu'!$G292,'Kinera Unit Kerja'!$G$4:$G$20)*Index!$E$10</f>
        <v>0</v>
      </c>
      <c r="Q292" s="44">
        <f>I292*Index!$E$11</f>
        <v>0</v>
      </c>
      <c r="R292" s="47">
        <f t="shared" si="9"/>
        <v>0</v>
      </c>
      <c r="S292" s="48">
        <f t="shared" si="8"/>
        <v>0</v>
      </c>
    </row>
    <row r="293" spans="1:19">
      <c r="A293" s="42"/>
      <c r="B293" s="33"/>
      <c r="C293" s="33"/>
      <c r="D293" s="43"/>
      <c r="E293" s="33"/>
      <c r="F293" s="33"/>
      <c r="G293" s="33"/>
      <c r="H293" s="33"/>
      <c r="I293" s="33"/>
      <c r="J293" s="44">
        <f>(D293/100000)*Index!$E$4</f>
        <v>0</v>
      </c>
      <c r="K293" s="44">
        <f>SUMIF(Index!$C$15:$C$40,'perhitungan individu'!E293,Index!$D$15:$D$40)*Index!$E$5</f>
        <v>0</v>
      </c>
      <c r="L293" s="44">
        <f>SUMIF(Index!$E$15:$E$40,'perhitungan individu'!F293,Index!F$15:F$40)*Index!$E$6</f>
        <v>0</v>
      </c>
      <c r="M293" s="44">
        <f>SUMIF(Index!$H$15:$H$40,'perhitungan individu'!$G293,Index!$I$15:$I$40)*Index!$E$7</f>
        <v>0</v>
      </c>
      <c r="N293" s="44">
        <f>SUMIF(Index!$K$15:$K$40,'perhitungan individu'!$G293,Index!$L$15:$L$40)*Index!$E$8</f>
        <v>0</v>
      </c>
      <c r="O293" s="44">
        <f>SUMIF(Index!$M$15:$M$40,'perhitungan individu'!H293,Index!$N$15:$N$40)*Index!$E$9</f>
        <v>0</v>
      </c>
      <c r="P293" s="44">
        <f>SUMIF('Kinera Unit Kerja'!$B$4:$B$20,'perhitungan individu'!$G293,'Kinera Unit Kerja'!$G$4:$G$20)*Index!$E$10</f>
        <v>0</v>
      </c>
      <c r="Q293" s="44">
        <f>I293*Index!$E$11</f>
        <v>0</v>
      </c>
      <c r="R293" s="47">
        <f t="shared" si="9"/>
        <v>0</v>
      </c>
      <c r="S293" s="48">
        <f t="shared" si="8"/>
        <v>0</v>
      </c>
    </row>
    <row r="294" spans="1:19">
      <c r="A294" s="42"/>
      <c r="B294" s="33"/>
      <c r="C294" s="33"/>
      <c r="D294" s="43"/>
      <c r="E294" s="33"/>
      <c r="F294" s="33"/>
      <c r="G294" s="33"/>
      <c r="H294" s="33"/>
      <c r="I294" s="33"/>
      <c r="J294" s="44">
        <f>(D294/100000)*Index!$E$4</f>
        <v>0</v>
      </c>
      <c r="K294" s="44">
        <f>SUMIF(Index!$C$15:$C$40,'perhitungan individu'!E294,Index!$D$15:$D$40)*Index!$E$5</f>
        <v>0</v>
      </c>
      <c r="L294" s="44">
        <f>SUMIF(Index!$E$15:$E$40,'perhitungan individu'!F294,Index!F$15:F$40)*Index!$E$6</f>
        <v>0</v>
      </c>
      <c r="M294" s="44">
        <f>SUMIF(Index!$H$15:$H$40,'perhitungan individu'!$G294,Index!$I$15:$I$40)*Index!$E$7</f>
        <v>0</v>
      </c>
      <c r="N294" s="44">
        <f>SUMIF(Index!$K$15:$K$40,'perhitungan individu'!$G294,Index!$L$15:$L$40)*Index!$E$8</f>
        <v>0</v>
      </c>
      <c r="O294" s="44">
        <f>SUMIF(Index!$M$15:$M$40,'perhitungan individu'!H294,Index!$N$15:$N$40)*Index!$E$9</f>
        <v>0</v>
      </c>
      <c r="P294" s="44">
        <f>SUMIF('Kinera Unit Kerja'!$B$4:$B$20,'perhitungan individu'!$G294,'Kinera Unit Kerja'!$G$4:$G$20)*Index!$E$10</f>
        <v>0</v>
      </c>
      <c r="Q294" s="44">
        <f>I294*Index!$E$11</f>
        <v>0</v>
      </c>
      <c r="R294" s="47">
        <f t="shared" si="9"/>
        <v>0</v>
      </c>
      <c r="S294" s="48">
        <f t="shared" si="8"/>
        <v>0</v>
      </c>
    </row>
    <row r="295" spans="1:19">
      <c r="A295" s="42"/>
      <c r="B295" s="33"/>
      <c r="C295" s="33"/>
      <c r="D295" s="43"/>
      <c r="E295" s="33"/>
      <c r="F295" s="33"/>
      <c r="G295" s="33"/>
      <c r="H295" s="33"/>
      <c r="I295" s="33"/>
      <c r="J295" s="44">
        <f>(D295/100000)*Index!$E$4</f>
        <v>0</v>
      </c>
      <c r="K295" s="44">
        <f>SUMIF(Index!$C$15:$C$40,'perhitungan individu'!E295,Index!$D$15:$D$40)*Index!$E$5</f>
        <v>0</v>
      </c>
      <c r="L295" s="44">
        <f>SUMIF(Index!$E$15:$E$40,'perhitungan individu'!F295,Index!F$15:F$40)*Index!$E$6</f>
        <v>0</v>
      </c>
      <c r="M295" s="44">
        <f>SUMIF(Index!$H$15:$H$40,'perhitungan individu'!$G295,Index!$I$15:$I$40)*Index!$E$7</f>
        <v>0</v>
      </c>
      <c r="N295" s="44">
        <f>SUMIF(Index!$K$15:$K$40,'perhitungan individu'!$G295,Index!$L$15:$L$40)*Index!$E$8</f>
        <v>0</v>
      </c>
      <c r="O295" s="44">
        <f>SUMIF(Index!$M$15:$M$40,'perhitungan individu'!H295,Index!$N$15:$N$40)*Index!$E$9</f>
        <v>0</v>
      </c>
      <c r="P295" s="44">
        <f>SUMIF('Kinera Unit Kerja'!$B$4:$B$20,'perhitungan individu'!$G295,'Kinera Unit Kerja'!$G$4:$G$20)*Index!$E$10</f>
        <v>0</v>
      </c>
      <c r="Q295" s="44">
        <f>I295*Index!$E$11</f>
        <v>0</v>
      </c>
      <c r="R295" s="47">
        <f t="shared" si="9"/>
        <v>0</v>
      </c>
      <c r="S295" s="48">
        <f t="shared" si="8"/>
        <v>0</v>
      </c>
    </row>
    <row r="296" spans="1:19">
      <c r="A296" s="42"/>
      <c r="B296" s="33"/>
      <c r="C296" s="33"/>
      <c r="D296" s="43"/>
      <c r="E296" s="33"/>
      <c r="F296" s="33"/>
      <c r="G296" s="33"/>
      <c r="H296" s="33"/>
      <c r="I296" s="33"/>
      <c r="J296" s="44">
        <f>(D296/100000)*Index!$E$4</f>
        <v>0</v>
      </c>
      <c r="K296" s="44">
        <f>SUMIF(Index!$C$15:$C$40,'perhitungan individu'!E296,Index!$D$15:$D$40)*Index!$E$5</f>
        <v>0</v>
      </c>
      <c r="L296" s="44">
        <f>SUMIF(Index!$E$15:$E$40,'perhitungan individu'!F296,Index!F$15:F$40)*Index!$E$6</f>
        <v>0</v>
      </c>
      <c r="M296" s="44">
        <f>SUMIF(Index!$H$15:$H$40,'perhitungan individu'!$G296,Index!$I$15:$I$40)*Index!$E$7</f>
        <v>0</v>
      </c>
      <c r="N296" s="44">
        <f>SUMIF(Index!$K$15:$K$40,'perhitungan individu'!$G296,Index!$L$15:$L$40)*Index!$E$8</f>
        <v>0</v>
      </c>
      <c r="O296" s="44">
        <f>SUMIF(Index!$M$15:$M$40,'perhitungan individu'!H296,Index!$N$15:$N$40)*Index!$E$9</f>
        <v>0</v>
      </c>
      <c r="P296" s="44">
        <f>SUMIF('Kinera Unit Kerja'!$B$4:$B$20,'perhitungan individu'!$G296,'Kinera Unit Kerja'!$G$4:$G$20)*Index!$E$10</f>
        <v>0</v>
      </c>
      <c r="Q296" s="44">
        <f>I296*Index!$E$11</f>
        <v>0</v>
      </c>
      <c r="R296" s="47">
        <f t="shared" si="9"/>
        <v>0</v>
      </c>
      <c r="S296" s="48">
        <f t="shared" si="8"/>
        <v>0</v>
      </c>
    </row>
    <row r="297" spans="1:19">
      <c r="A297" s="42"/>
      <c r="B297" s="33"/>
      <c r="C297" s="33"/>
      <c r="D297" s="43"/>
      <c r="E297" s="33"/>
      <c r="F297" s="33"/>
      <c r="G297" s="33"/>
      <c r="H297" s="33"/>
      <c r="I297" s="33"/>
      <c r="J297" s="44">
        <f>(D297/100000)*Index!$E$4</f>
        <v>0</v>
      </c>
      <c r="K297" s="44">
        <f>SUMIF(Index!$C$15:$C$40,'perhitungan individu'!E297,Index!$D$15:$D$40)*Index!$E$5</f>
        <v>0</v>
      </c>
      <c r="L297" s="44">
        <f>SUMIF(Index!$E$15:$E$40,'perhitungan individu'!F297,Index!F$15:F$40)*Index!$E$6</f>
        <v>0</v>
      </c>
      <c r="M297" s="44">
        <f>SUMIF(Index!$H$15:$H$40,'perhitungan individu'!$G297,Index!$I$15:$I$40)*Index!$E$7</f>
        <v>0</v>
      </c>
      <c r="N297" s="44">
        <f>SUMIF(Index!$K$15:$K$40,'perhitungan individu'!$G297,Index!$L$15:$L$40)*Index!$E$8</f>
        <v>0</v>
      </c>
      <c r="O297" s="44">
        <f>SUMIF(Index!$M$15:$M$40,'perhitungan individu'!H297,Index!$N$15:$N$40)*Index!$E$9</f>
        <v>0</v>
      </c>
      <c r="P297" s="44">
        <f>SUMIF('Kinera Unit Kerja'!$B$4:$B$20,'perhitungan individu'!$G297,'Kinera Unit Kerja'!$G$4:$G$20)*Index!$E$10</f>
        <v>0</v>
      </c>
      <c r="Q297" s="44">
        <f>I297*Index!$E$11</f>
        <v>0</v>
      </c>
      <c r="R297" s="47">
        <f t="shared" si="9"/>
        <v>0</v>
      </c>
      <c r="S297" s="48">
        <f t="shared" si="8"/>
        <v>0</v>
      </c>
    </row>
    <row r="298" spans="1:19">
      <c r="A298" s="42"/>
      <c r="B298" s="33"/>
      <c r="C298" s="33"/>
      <c r="D298" s="43"/>
      <c r="E298" s="33"/>
      <c r="F298" s="33"/>
      <c r="G298" s="33"/>
      <c r="H298" s="33"/>
      <c r="I298" s="33"/>
      <c r="J298" s="44">
        <f>(D298/100000)*Index!$E$4</f>
        <v>0</v>
      </c>
      <c r="K298" s="44">
        <f>SUMIF(Index!$C$15:$C$40,'perhitungan individu'!E298,Index!$D$15:$D$40)*Index!$E$5</f>
        <v>0</v>
      </c>
      <c r="L298" s="44">
        <f>SUMIF(Index!$E$15:$E$40,'perhitungan individu'!F298,Index!F$15:F$40)*Index!$E$6</f>
        <v>0</v>
      </c>
      <c r="M298" s="44">
        <f>SUMIF(Index!$H$15:$H$40,'perhitungan individu'!$G298,Index!$I$15:$I$40)*Index!$E$7</f>
        <v>0</v>
      </c>
      <c r="N298" s="44">
        <f>SUMIF(Index!$K$15:$K$40,'perhitungan individu'!$G298,Index!$L$15:$L$40)*Index!$E$8</f>
        <v>0</v>
      </c>
      <c r="O298" s="44">
        <f>SUMIF(Index!$M$15:$M$40,'perhitungan individu'!H298,Index!$N$15:$N$40)*Index!$E$9</f>
        <v>0</v>
      </c>
      <c r="P298" s="44">
        <f>SUMIF('Kinera Unit Kerja'!$B$4:$B$20,'perhitungan individu'!$G298,'Kinera Unit Kerja'!$G$4:$G$20)*Index!$E$10</f>
        <v>0</v>
      </c>
      <c r="Q298" s="44">
        <f>I298*Index!$E$11</f>
        <v>0</v>
      </c>
      <c r="R298" s="47">
        <f t="shared" si="9"/>
        <v>0</v>
      </c>
      <c r="S298" s="48">
        <f t="shared" si="8"/>
        <v>0</v>
      </c>
    </row>
    <row r="299" spans="1:19">
      <c r="A299" s="42"/>
      <c r="B299" s="33"/>
      <c r="C299" s="33"/>
      <c r="D299" s="43"/>
      <c r="E299" s="33"/>
      <c r="F299" s="33"/>
      <c r="G299" s="33"/>
      <c r="H299" s="33"/>
      <c r="I299" s="33"/>
      <c r="J299" s="44">
        <f>(D299/100000)*Index!$E$4</f>
        <v>0</v>
      </c>
      <c r="K299" s="44">
        <f>SUMIF(Index!$C$15:$C$40,'perhitungan individu'!E299,Index!$D$15:$D$40)*Index!$E$5</f>
        <v>0</v>
      </c>
      <c r="L299" s="44">
        <f>SUMIF(Index!$E$15:$E$40,'perhitungan individu'!F299,Index!F$15:F$40)*Index!$E$6</f>
        <v>0</v>
      </c>
      <c r="M299" s="44">
        <f>SUMIF(Index!$H$15:$H$40,'perhitungan individu'!$G299,Index!$I$15:$I$40)*Index!$E$7</f>
        <v>0</v>
      </c>
      <c r="N299" s="44">
        <f>SUMIF(Index!$K$15:$K$40,'perhitungan individu'!$G299,Index!$L$15:$L$40)*Index!$E$8</f>
        <v>0</v>
      </c>
      <c r="O299" s="44">
        <f>SUMIF(Index!$M$15:$M$40,'perhitungan individu'!H299,Index!$N$15:$N$40)*Index!$E$9</f>
        <v>0</v>
      </c>
      <c r="P299" s="44">
        <f>SUMIF('Kinera Unit Kerja'!$B$4:$B$20,'perhitungan individu'!$G299,'Kinera Unit Kerja'!$G$4:$G$20)*Index!$E$10</f>
        <v>0</v>
      </c>
      <c r="Q299" s="44">
        <f>I299*Index!$E$11</f>
        <v>0</v>
      </c>
      <c r="R299" s="47">
        <f t="shared" si="9"/>
        <v>0</v>
      </c>
      <c r="S299" s="48">
        <f t="shared" si="8"/>
        <v>0</v>
      </c>
    </row>
    <row r="300" spans="1:19">
      <c r="A300" s="42"/>
      <c r="B300" s="33"/>
      <c r="C300" s="33"/>
      <c r="D300" s="43"/>
      <c r="E300" s="33"/>
      <c r="F300" s="33"/>
      <c r="G300" s="33"/>
      <c r="H300" s="33"/>
      <c r="I300" s="33"/>
      <c r="J300" s="44">
        <f>(D300/100000)*Index!$E$4</f>
        <v>0</v>
      </c>
      <c r="K300" s="44">
        <f>SUMIF(Index!$C$15:$C$40,'perhitungan individu'!E300,Index!$D$15:$D$40)*Index!$E$5</f>
        <v>0</v>
      </c>
      <c r="L300" s="44">
        <f>SUMIF(Index!$E$15:$E$40,'perhitungan individu'!F300,Index!F$15:F$40)*Index!$E$6</f>
        <v>0</v>
      </c>
      <c r="M300" s="44">
        <f>SUMIF(Index!$H$15:$H$40,'perhitungan individu'!$G300,Index!$I$15:$I$40)*Index!$E$7</f>
        <v>0</v>
      </c>
      <c r="N300" s="44">
        <f>SUMIF(Index!$K$15:$K$40,'perhitungan individu'!$G300,Index!$L$15:$L$40)*Index!$E$8</f>
        <v>0</v>
      </c>
      <c r="O300" s="44">
        <f>SUMIF(Index!$M$15:$M$40,'perhitungan individu'!H300,Index!$N$15:$N$40)*Index!$E$9</f>
        <v>0</v>
      </c>
      <c r="P300" s="44">
        <f>SUMIF('Kinera Unit Kerja'!$B$4:$B$20,'perhitungan individu'!$G300,'Kinera Unit Kerja'!$G$4:$G$20)*Index!$E$10</f>
        <v>0</v>
      </c>
      <c r="Q300" s="44">
        <f>I300*Index!$E$11</f>
        <v>0</v>
      </c>
      <c r="R300" s="47">
        <f t="shared" si="9"/>
        <v>0</v>
      </c>
      <c r="S300" s="48">
        <f t="shared" si="8"/>
        <v>0</v>
      </c>
    </row>
    <row r="301" spans="1:19">
      <c r="A301" s="42"/>
      <c r="B301" s="33"/>
      <c r="C301" s="33"/>
      <c r="D301" s="43"/>
      <c r="E301" s="33"/>
      <c r="F301" s="33"/>
      <c r="G301" s="33"/>
      <c r="H301" s="33"/>
      <c r="I301" s="33"/>
      <c r="J301" s="44">
        <f>(D301/100000)*Index!$E$4</f>
        <v>0</v>
      </c>
      <c r="K301" s="44">
        <f>SUMIF(Index!$C$15:$C$40,'perhitungan individu'!E301,Index!$D$15:$D$40)*Index!$E$5</f>
        <v>0</v>
      </c>
      <c r="L301" s="44">
        <f>SUMIF(Index!$E$15:$E$40,'perhitungan individu'!F301,Index!F$15:F$40)*Index!$E$6</f>
        <v>0</v>
      </c>
      <c r="M301" s="44">
        <f>SUMIF(Index!$H$15:$H$40,'perhitungan individu'!$G301,Index!$I$15:$I$40)*Index!$E$7</f>
        <v>0</v>
      </c>
      <c r="N301" s="44">
        <f>SUMIF(Index!$K$15:$K$40,'perhitungan individu'!$G301,Index!$L$15:$L$40)*Index!$E$8</f>
        <v>0</v>
      </c>
      <c r="O301" s="44">
        <f>SUMIF(Index!$M$15:$M$40,'perhitungan individu'!H301,Index!$N$15:$N$40)*Index!$E$9</f>
        <v>0</v>
      </c>
      <c r="P301" s="44">
        <f>SUMIF('Kinera Unit Kerja'!$B$4:$B$20,'perhitungan individu'!$G301,'Kinera Unit Kerja'!$G$4:$G$20)*Index!$E$10</f>
        <v>0</v>
      </c>
      <c r="Q301" s="44">
        <f>I301*Index!$E$11</f>
        <v>0</v>
      </c>
      <c r="R301" s="47">
        <f t="shared" si="9"/>
        <v>0</v>
      </c>
      <c r="S301" s="48">
        <f t="shared" si="8"/>
        <v>0</v>
      </c>
    </row>
    <row r="302" spans="1:19">
      <c r="A302" s="42"/>
      <c r="B302" s="33"/>
      <c r="C302" s="33"/>
      <c r="D302" s="43"/>
      <c r="E302" s="33"/>
      <c r="F302" s="33"/>
      <c r="G302" s="33"/>
      <c r="H302" s="33"/>
      <c r="I302" s="33"/>
      <c r="J302" s="44">
        <f>(D302/100000)*Index!$E$4</f>
        <v>0</v>
      </c>
      <c r="K302" s="44">
        <f>SUMIF(Index!$C$15:$C$40,'perhitungan individu'!E302,Index!$D$15:$D$40)*Index!$E$5</f>
        <v>0</v>
      </c>
      <c r="L302" s="44">
        <f>SUMIF(Index!$E$15:$E$40,'perhitungan individu'!F302,Index!F$15:F$40)*Index!$E$6</f>
        <v>0</v>
      </c>
      <c r="M302" s="44">
        <f>SUMIF(Index!$H$15:$H$40,'perhitungan individu'!$G302,Index!$I$15:$I$40)*Index!$E$7</f>
        <v>0</v>
      </c>
      <c r="N302" s="44">
        <f>SUMIF(Index!$K$15:$K$40,'perhitungan individu'!$G302,Index!$L$15:$L$40)*Index!$E$8</f>
        <v>0</v>
      </c>
      <c r="O302" s="44">
        <f>SUMIF(Index!$M$15:$M$40,'perhitungan individu'!H302,Index!$N$15:$N$40)*Index!$E$9</f>
        <v>0</v>
      </c>
      <c r="P302" s="44">
        <f>SUMIF('Kinera Unit Kerja'!$B$4:$B$20,'perhitungan individu'!$G302,'Kinera Unit Kerja'!$G$4:$G$20)*Index!$E$10</f>
        <v>0</v>
      </c>
      <c r="Q302" s="44">
        <f>I302*Index!$E$11</f>
        <v>0</v>
      </c>
      <c r="R302" s="47">
        <f t="shared" si="9"/>
        <v>0</v>
      </c>
      <c r="S302" s="48">
        <f t="shared" si="8"/>
        <v>0</v>
      </c>
    </row>
    <row r="303" spans="1:19">
      <c r="A303" s="42"/>
      <c r="B303" s="33"/>
      <c r="C303" s="33"/>
      <c r="D303" s="43"/>
      <c r="E303" s="33"/>
      <c r="F303" s="33"/>
      <c r="G303" s="33"/>
      <c r="H303" s="33"/>
      <c r="I303" s="33"/>
      <c r="J303" s="44">
        <f>(D303/100000)*Index!$E$4</f>
        <v>0</v>
      </c>
      <c r="K303" s="44">
        <f>SUMIF(Index!$C$15:$C$40,'perhitungan individu'!E303,Index!$D$15:$D$40)*Index!$E$5</f>
        <v>0</v>
      </c>
      <c r="L303" s="44">
        <f>SUMIF(Index!$E$15:$E$40,'perhitungan individu'!F303,Index!F$15:F$40)*Index!$E$6</f>
        <v>0</v>
      </c>
      <c r="M303" s="44">
        <f>SUMIF(Index!$H$15:$H$40,'perhitungan individu'!$G303,Index!$I$15:$I$40)*Index!$E$7</f>
        <v>0</v>
      </c>
      <c r="N303" s="44">
        <f>SUMIF(Index!$K$15:$K$40,'perhitungan individu'!$G303,Index!$L$15:$L$40)*Index!$E$8</f>
        <v>0</v>
      </c>
      <c r="O303" s="44">
        <f>SUMIF(Index!$M$15:$M$40,'perhitungan individu'!H303,Index!$N$15:$N$40)*Index!$E$9</f>
        <v>0</v>
      </c>
      <c r="P303" s="44">
        <f>SUMIF('Kinera Unit Kerja'!$B$4:$B$20,'perhitungan individu'!$G303,'Kinera Unit Kerja'!$G$4:$G$20)*Index!$E$10</f>
        <v>0</v>
      </c>
      <c r="Q303" s="44">
        <f>I303*Index!$E$11</f>
        <v>0</v>
      </c>
      <c r="R303" s="47">
        <f t="shared" si="9"/>
        <v>0</v>
      </c>
      <c r="S303" s="48">
        <f t="shared" si="8"/>
        <v>0</v>
      </c>
    </row>
    <row r="304" spans="1:19">
      <c r="A304" s="42"/>
      <c r="B304" s="33"/>
      <c r="C304" s="33"/>
      <c r="D304" s="43"/>
      <c r="E304" s="33"/>
      <c r="F304" s="33"/>
      <c r="G304" s="33"/>
      <c r="H304" s="33"/>
      <c r="I304" s="33"/>
      <c r="J304" s="44">
        <f>(D304/100000)*Index!$E$4</f>
        <v>0</v>
      </c>
      <c r="K304" s="44">
        <f>SUMIF(Index!$C$15:$C$40,'perhitungan individu'!E304,Index!$D$15:$D$40)*Index!$E$5</f>
        <v>0</v>
      </c>
      <c r="L304" s="44">
        <f>SUMIF(Index!$E$15:$E$40,'perhitungan individu'!F304,Index!F$15:F$40)*Index!$E$6</f>
        <v>0</v>
      </c>
      <c r="M304" s="44">
        <f>SUMIF(Index!$H$15:$H$40,'perhitungan individu'!$G304,Index!$I$15:$I$40)*Index!$E$7</f>
        <v>0</v>
      </c>
      <c r="N304" s="44">
        <f>SUMIF(Index!$K$15:$K$40,'perhitungan individu'!$G304,Index!$L$15:$L$40)*Index!$E$8</f>
        <v>0</v>
      </c>
      <c r="O304" s="44">
        <f>SUMIF(Index!$M$15:$M$40,'perhitungan individu'!H304,Index!$N$15:$N$40)*Index!$E$9</f>
        <v>0</v>
      </c>
      <c r="P304" s="44">
        <f>SUMIF('Kinera Unit Kerja'!$B$4:$B$20,'perhitungan individu'!$G304,'Kinera Unit Kerja'!$G$4:$G$20)*Index!$E$10</f>
        <v>0</v>
      </c>
      <c r="Q304" s="44">
        <f>I304*Index!$E$11</f>
        <v>0</v>
      </c>
      <c r="R304" s="47">
        <f t="shared" si="9"/>
        <v>0</v>
      </c>
      <c r="S304" s="48">
        <f t="shared" si="8"/>
        <v>0</v>
      </c>
    </row>
    <row r="305" spans="1:19">
      <c r="A305" s="42"/>
      <c r="B305" s="33"/>
      <c r="C305" s="33"/>
      <c r="D305" s="43"/>
      <c r="E305" s="33"/>
      <c r="F305" s="33"/>
      <c r="G305" s="33"/>
      <c r="H305" s="33"/>
      <c r="I305" s="33"/>
      <c r="J305" s="44">
        <f>(D305/100000)*Index!$E$4</f>
        <v>0</v>
      </c>
      <c r="K305" s="44">
        <f>SUMIF(Index!$C$15:$C$40,'perhitungan individu'!E305,Index!$D$15:$D$40)*Index!$E$5</f>
        <v>0</v>
      </c>
      <c r="L305" s="44">
        <f>SUMIF(Index!$E$15:$E$40,'perhitungan individu'!F305,Index!F$15:F$40)*Index!$E$6</f>
        <v>0</v>
      </c>
      <c r="M305" s="44">
        <f>SUMIF(Index!$H$15:$H$40,'perhitungan individu'!$G305,Index!$I$15:$I$40)*Index!$E$7</f>
        <v>0</v>
      </c>
      <c r="N305" s="44">
        <f>SUMIF(Index!$K$15:$K$40,'perhitungan individu'!$G305,Index!$L$15:$L$40)*Index!$E$8</f>
        <v>0</v>
      </c>
      <c r="O305" s="44">
        <f>SUMIF(Index!$M$15:$M$40,'perhitungan individu'!H305,Index!$N$15:$N$40)*Index!$E$9</f>
        <v>0</v>
      </c>
      <c r="P305" s="44">
        <f>SUMIF('Kinera Unit Kerja'!$B$4:$B$20,'perhitungan individu'!$G305,'Kinera Unit Kerja'!$G$4:$G$20)*Index!$E$10</f>
        <v>0</v>
      </c>
      <c r="Q305" s="44">
        <f>I305*Index!$E$11</f>
        <v>0</v>
      </c>
      <c r="R305" s="47">
        <f t="shared" si="9"/>
        <v>0</v>
      </c>
      <c r="S305" s="48">
        <f t="shared" si="8"/>
        <v>0</v>
      </c>
    </row>
    <row r="306" spans="1:19">
      <c r="A306" s="42"/>
      <c r="B306" s="33"/>
      <c r="C306" s="33"/>
      <c r="D306" s="43"/>
      <c r="E306" s="33"/>
      <c r="F306" s="33"/>
      <c r="G306" s="33"/>
      <c r="H306" s="33"/>
      <c r="I306" s="33"/>
      <c r="J306" s="44">
        <f>(D306/100000)*Index!$E$4</f>
        <v>0</v>
      </c>
      <c r="K306" s="44">
        <f>SUMIF(Index!$C$15:$C$40,'perhitungan individu'!E306,Index!$D$15:$D$40)*Index!$E$5</f>
        <v>0</v>
      </c>
      <c r="L306" s="44">
        <f>SUMIF(Index!$E$15:$E$40,'perhitungan individu'!F306,Index!F$15:F$40)*Index!$E$6</f>
        <v>0</v>
      </c>
      <c r="M306" s="44">
        <f>SUMIF(Index!$H$15:$H$40,'perhitungan individu'!$G306,Index!$I$15:$I$40)*Index!$E$7</f>
        <v>0</v>
      </c>
      <c r="N306" s="44">
        <f>SUMIF(Index!$K$15:$K$40,'perhitungan individu'!$G306,Index!$L$15:$L$40)*Index!$E$8</f>
        <v>0</v>
      </c>
      <c r="O306" s="44">
        <f>SUMIF(Index!$M$15:$M$40,'perhitungan individu'!H306,Index!$N$15:$N$40)*Index!$E$9</f>
        <v>0</v>
      </c>
      <c r="P306" s="44">
        <f>SUMIF('Kinera Unit Kerja'!$B$4:$B$20,'perhitungan individu'!$G306,'Kinera Unit Kerja'!$G$4:$G$20)*Index!$E$10</f>
        <v>0</v>
      </c>
      <c r="Q306" s="44">
        <f>I306*Index!$E$11</f>
        <v>0</v>
      </c>
      <c r="R306" s="47">
        <f t="shared" si="9"/>
        <v>0</v>
      </c>
      <c r="S306" s="48">
        <f t="shared" si="8"/>
        <v>0</v>
      </c>
    </row>
    <row r="307" spans="1:19">
      <c r="A307" s="42"/>
      <c r="B307" s="33"/>
      <c r="C307" s="33"/>
      <c r="D307" s="43"/>
      <c r="E307" s="33"/>
      <c r="F307" s="33"/>
      <c r="G307" s="33"/>
      <c r="H307" s="33"/>
      <c r="I307" s="33"/>
      <c r="J307" s="44">
        <f>(D307/100000)*Index!$E$4</f>
        <v>0</v>
      </c>
      <c r="K307" s="44">
        <f>SUMIF(Index!$C$15:$C$40,'perhitungan individu'!E307,Index!$D$15:$D$40)*Index!$E$5</f>
        <v>0</v>
      </c>
      <c r="L307" s="44">
        <f>SUMIF(Index!$E$15:$E$40,'perhitungan individu'!F307,Index!F$15:F$40)*Index!$E$6</f>
        <v>0</v>
      </c>
      <c r="M307" s="44">
        <f>SUMIF(Index!$H$15:$H$40,'perhitungan individu'!$G307,Index!$I$15:$I$40)*Index!$E$7</f>
        <v>0</v>
      </c>
      <c r="N307" s="44">
        <f>SUMIF(Index!$K$15:$K$40,'perhitungan individu'!$G307,Index!$L$15:$L$40)*Index!$E$8</f>
        <v>0</v>
      </c>
      <c r="O307" s="44">
        <f>SUMIF(Index!$M$15:$M$40,'perhitungan individu'!H307,Index!$N$15:$N$40)*Index!$E$9</f>
        <v>0</v>
      </c>
      <c r="P307" s="44">
        <f>SUMIF('Kinera Unit Kerja'!$B$4:$B$20,'perhitungan individu'!$G307,'Kinera Unit Kerja'!$G$4:$G$20)*Index!$E$10</f>
        <v>0</v>
      </c>
      <c r="Q307" s="44">
        <f>I307*Index!$E$11</f>
        <v>0</v>
      </c>
      <c r="R307" s="47">
        <f t="shared" si="9"/>
        <v>0</v>
      </c>
      <c r="S307" s="48">
        <f t="shared" si="8"/>
        <v>0</v>
      </c>
    </row>
    <row r="308" spans="1:19">
      <c r="A308" s="42"/>
      <c r="B308" s="33"/>
      <c r="C308" s="33"/>
      <c r="D308" s="43"/>
      <c r="E308" s="33"/>
      <c r="F308" s="33"/>
      <c r="G308" s="33"/>
      <c r="H308" s="33"/>
      <c r="I308" s="33"/>
      <c r="J308" s="44">
        <f>(D308/100000)*Index!$E$4</f>
        <v>0</v>
      </c>
      <c r="K308" s="44">
        <f>SUMIF(Index!$C$15:$C$40,'perhitungan individu'!E308,Index!$D$15:$D$40)*Index!$E$5</f>
        <v>0</v>
      </c>
      <c r="L308" s="44">
        <f>SUMIF(Index!$E$15:$E$40,'perhitungan individu'!F308,Index!F$15:F$40)*Index!$E$6</f>
        <v>0</v>
      </c>
      <c r="M308" s="44">
        <f>SUMIF(Index!$H$15:$H$40,'perhitungan individu'!$G308,Index!$I$15:$I$40)*Index!$E$7</f>
        <v>0</v>
      </c>
      <c r="N308" s="44">
        <f>SUMIF(Index!$K$15:$K$40,'perhitungan individu'!$G308,Index!$L$15:$L$40)*Index!$E$8</f>
        <v>0</v>
      </c>
      <c r="O308" s="44">
        <f>SUMIF(Index!$M$15:$M$40,'perhitungan individu'!H308,Index!$N$15:$N$40)*Index!$E$9</f>
        <v>0</v>
      </c>
      <c r="P308" s="44">
        <f>SUMIF('Kinera Unit Kerja'!$B$4:$B$20,'perhitungan individu'!$G308,'Kinera Unit Kerja'!$G$4:$G$20)*Index!$E$10</f>
        <v>0</v>
      </c>
      <c r="Q308" s="44">
        <f>I308*Index!$E$11</f>
        <v>0</v>
      </c>
      <c r="R308" s="47">
        <f t="shared" si="9"/>
        <v>0</v>
      </c>
      <c r="S308" s="48">
        <f t="shared" si="8"/>
        <v>0</v>
      </c>
    </row>
    <row r="309" spans="1:19">
      <c r="A309" s="42"/>
      <c r="B309" s="33"/>
      <c r="C309" s="33"/>
      <c r="D309" s="43"/>
      <c r="E309" s="33"/>
      <c r="F309" s="33"/>
      <c r="G309" s="33"/>
      <c r="H309" s="33"/>
      <c r="I309" s="33"/>
      <c r="J309" s="44">
        <f>(D309/100000)*Index!$E$4</f>
        <v>0</v>
      </c>
      <c r="K309" s="44">
        <f>SUMIF(Index!$C$15:$C$40,'perhitungan individu'!E309,Index!$D$15:$D$40)*Index!$E$5</f>
        <v>0</v>
      </c>
      <c r="L309" s="44">
        <f>SUMIF(Index!$E$15:$E$40,'perhitungan individu'!F309,Index!F$15:F$40)*Index!$E$6</f>
        <v>0</v>
      </c>
      <c r="M309" s="44">
        <f>SUMIF(Index!$H$15:$H$40,'perhitungan individu'!$G309,Index!$I$15:$I$40)*Index!$E$7</f>
        <v>0</v>
      </c>
      <c r="N309" s="44">
        <f>SUMIF(Index!$K$15:$K$40,'perhitungan individu'!$G309,Index!$L$15:$L$40)*Index!$E$8</f>
        <v>0</v>
      </c>
      <c r="O309" s="44">
        <f>SUMIF(Index!$M$15:$M$40,'perhitungan individu'!H309,Index!$N$15:$N$40)*Index!$E$9</f>
        <v>0</v>
      </c>
      <c r="P309" s="44">
        <f>SUMIF('Kinera Unit Kerja'!$B$4:$B$20,'perhitungan individu'!$G309,'Kinera Unit Kerja'!$G$4:$G$20)*Index!$E$10</f>
        <v>0</v>
      </c>
      <c r="Q309" s="44">
        <f>I309*Index!$E$11</f>
        <v>0</v>
      </c>
      <c r="R309" s="47">
        <f t="shared" si="9"/>
        <v>0</v>
      </c>
      <c r="S309" s="48">
        <f t="shared" si="8"/>
        <v>0</v>
      </c>
    </row>
    <row r="310" spans="1:19">
      <c r="A310" s="42"/>
      <c r="B310" s="33"/>
      <c r="C310" s="33"/>
      <c r="D310" s="43"/>
      <c r="E310" s="33"/>
      <c r="F310" s="33"/>
      <c r="G310" s="33"/>
      <c r="H310" s="33"/>
      <c r="I310" s="33"/>
      <c r="J310" s="44">
        <f>(D310/100000)*Index!$E$4</f>
        <v>0</v>
      </c>
      <c r="K310" s="44">
        <f>SUMIF(Index!$C$15:$C$40,'perhitungan individu'!E310,Index!$D$15:$D$40)*Index!$E$5</f>
        <v>0</v>
      </c>
      <c r="L310" s="44">
        <f>SUMIF(Index!$E$15:$E$40,'perhitungan individu'!F310,Index!F$15:F$40)*Index!$E$6</f>
        <v>0</v>
      </c>
      <c r="M310" s="44">
        <f>SUMIF(Index!$H$15:$H$40,'perhitungan individu'!$G310,Index!$I$15:$I$40)*Index!$E$7</f>
        <v>0</v>
      </c>
      <c r="N310" s="44">
        <f>SUMIF(Index!$K$15:$K$40,'perhitungan individu'!$G310,Index!$L$15:$L$40)*Index!$E$8</f>
        <v>0</v>
      </c>
      <c r="O310" s="44">
        <f>SUMIF(Index!$M$15:$M$40,'perhitungan individu'!H310,Index!$N$15:$N$40)*Index!$E$9</f>
        <v>0</v>
      </c>
      <c r="P310" s="44">
        <f>SUMIF('Kinera Unit Kerja'!$B$4:$B$20,'perhitungan individu'!$G310,'Kinera Unit Kerja'!$G$4:$G$20)*Index!$E$10</f>
        <v>0</v>
      </c>
      <c r="Q310" s="44">
        <f>I310*Index!$E$11</f>
        <v>0</v>
      </c>
      <c r="R310" s="47">
        <f t="shared" si="9"/>
        <v>0</v>
      </c>
      <c r="S310" s="48">
        <f t="shared" si="8"/>
        <v>0</v>
      </c>
    </row>
    <row r="311" spans="1:19">
      <c r="A311" s="42"/>
      <c r="B311" s="33"/>
      <c r="C311" s="33"/>
      <c r="D311" s="43"/>
      <c r="E311" s="33"/>
      <c r="F311" s="33"/>
      <c r="G311" s="33"/>
      <c r="H311" s="33"/>
      <c r="I311" s="33"/>
      <c r="J311" s="44">
        <f>(D311/100000)*Index!$E$4</f>
        <v>0</v>
      </c>
      <c r="K311" s="44">
        <f>SUMIF(Index!$C$15:$C$40,'perhitungan individu'!E311,Index!$D$15:$D$40)*Index!$E$5</f>
        <v>0</v>
      </c>
      <c r="L311" s="44">
        <f>SUMIF(Index!$E$15:$E$40,'perhitungan individu'!F311,Index!F$15:F$40)*Index!$E$6</f>
        <v>0</v>
      </c>
      <c r="M311" s="44">
        <f>SUMIF(Index!$H$15:$H$40,'perhitungan individu'!$G311,Index!$I$15:$I$40)*Index!$E$7</f>
        <v>0</v>
      </c>
      <c r="N311" s="44">
        <f>SUMIF(Index!$K$15:$K$40,'perhitungan individu'!$G311,Index!$L$15:$L$40)*Index!$E$8</f>
        <v>0</v>
      </c>
      <c r="O311" s="44">
        <f>SUMIF(Index!$M$15:$M$40,'perhitungan individu'!H311,Index!$N$15:$N$40)*Index!$E$9</f>
        <v>0</v>
      </c>
      <c r="P311" s="44">
        <f>SUMIF('Kinera Unit Kerja'!$B$4:$B$20,'perhitungan individu'!$G311,'Kinera Unit Kerja'!$G$4:$G$20)*Index!$E$10</f>
        <v>0</v>
      </c>
      <c r="Q311" s="44">
        <f>I311*Index!$E$11</f>
        <v>0</v>
      </c>
      <c r="R311" s="47">
        <f t="shared" si="9"/>
        <v>0</v>
      </c>
      <c r="S311" s="48">
        <f t="shared" si="8"/>
        <v>0</v>
      </c>
    </row>
    <row r="312" spans="1:19">
      <c r="A312" s="42"/>
      <c r="B312" s="33"/>
      <c r="C312" s="33"/>
      <c r="D312" s="43"/>
      <c r="E312" s="33"/>
      <c r="F312" s="33"/>
      <c r="G312" s="33"/>
      <c r="H312" s="33"/>
      <c r="I312" s="33"/>
      <c r="J312" s="44">
        <f>(D312/100000)*Index!$E$4</f>
        <v>0</v>
      </c>
      <c r="K312" s="44">
        <f>SUMIF(Index!$C$15:$C$40,'perhitungan individu'!E312,Index!$D$15:$D$40)*Index!$E$5</f>
        <v>0</v>
      </c>
      <c r="L312" s="44">
        <f>SUMIF(Index!$E$15:$E$40,'perhitungan individu'!F312,Index!F$15:F$40)*Index!$E$6</f>
        <v>0</v>
      </c>
      <c r="M312" s="44">
        <f>SUMIF(Index!$H$15:$H$40,'perhitungan individu'!$G312,Index!$I$15:$I$40)*Index!$E$7</f>
        <v>0</v>
      </c>
      <c r="N312" s="44">
        <f>SUMIF(Index!$K$15:$K$40,'perhitungan individu'!$G312,Index!$L$15:$L$40)*Index!$E$8</f>
        <v>0</v>
      </c>
      <c r="O312" s="44">
        <f>SUMIF(Index!$M$15:$M$40,'perhitungan individu'!H312,Index!$N$15:$N$40)*Index!$E$9</f>
        <v>0</v>
      </c>
      <c r="P312" s="44">
        <f>SUMIF('Kinera Unit Kerja'!$B$4:$B$20,'perhitungan individu'!$G312,'Kinera Unit Kerja'!$G$4:$G$20)*Index!$E$10</f>
        <v>0</v>
      </c>
      <c r="Q312" s="44">
        <f>I312*Index!$E$11</f>
        <v>0</v>
      </c>
      <c r="R312" s="47">
        <f t="shared" si="9"/>
        <v>0</v>
      </c>
      <c r="S312" s="48">
        <f t="shared" si="8"/>
        <v>0</v>
      </c>
    </row>
    <row r="313" spans="1:19">
      <c r="A313" s="42"/>
      <c r="B313" s="33"/>
      <c r="C313" s="33"/>
      <c r="D313" s="43"/>
      <c r="E313" s="33"/>
      <c r="F313" s="33"/>
      <c r="G313" s="33"/>
      <c r="H313" s="33"/>
      <c r="I313" s="33"/>
      <c r="J313" s="44">
        <f>(D313/100000)*Index!$E$4</f>
        <v>0</v>
      </c>
      <c r="K313" s="44">
        <f>SUMIF(Index!$C$15:$C$40,'perhitungan individu'!E313,Index!$D$15:$D$40)*Index!$E$5</f>
        <v>0</v>
      </c>
      <c r="L313" s="44">
        <f>SUMIF(Index!$E$15:$E$40,'perhitungan individu'!F313,Index!F$15:F$40)*Index!$E$6</f>
        <v>0</v>
      </c>
      <c r="M313" s="44">
        <f>SUMIF(Index!$H$15:$H$40,'perhitungan individu'!$G313,Index!$I$15:$I$40)*Index!$E$7</f>
        <v>0</v>
      </c>
      <c r="N313" s="44">
        <f>SUMIF(Index!$K$15:$K$40,'perhitungan individu'!$G313,Index!$L$15:$L$40)*Index!$E$8</f>
        <v>0</v>
      </c>
      <c r="O313" s="44">
        <f>SUMIF(Index!$M$15:$M$40,'perhitungan individu'!H313,Index!$N$15:$N$40)*Index!$E$9</f>
        <v>0</v>
      </c>
      <c r="P313" s="44">
        <f>SUMIF('Kinera Unit Kerja'!$B$4:$B$20,'perhitungan individu'!$G313,'Kinera Unit Kerja'!$G$4:$G$20)*Index!$E$10</f>
        <v>0</v>
      </c>
      <c r="Q313" s="44">
        <f>I313*Index!$E$11</f>
        <v>0</v>
      </c>
      <c r="R313" s="47">
        <f t="shared" si="9"/>
        <v>0</v>
      </c>
      <c r="S313" s="48">
        <f t="shared" si="8"/>
        <v>0</v>
      </c>
    </row>
    <row r="314" spans="1:19">
      <c r="A314" s="42"/>
      <c r="B314" s="33"/>
      <c r="C314" s="33"/>
      <c r="D314" s="43"/>
      <c r="E314" s="33"/>
      <c r="F314" s="33"/>
      <c r="G314" s="33"/>
      <c r="H314" s="33"/>
      <c r="I314" s="33"/>
      <c r="J314" s="44">
        <f>(D314/100000)*Index!$E$4</f>
        <v>0</v>
      </c>
      <c r="K314" s="44">
        <f>SUMIF(Index!$C$15:$C$40,'perhitungan individu'!E314,Index!$D$15:$D$40)*Index!$E$5</f>
        <v>0</v>
      </c>
      <c r="L314" s="44">
        <f>SUMIF(Index!$E$15:$E$40,'perhitungan individu'!F314,Index!F$15:F$40)*Index!$E$6</f>
        <v>0</v>
      </c>
      <c r="M314" s="44">
        <f>SUMIF(Index!$H$15:$H$40,'perhitungan individu'!$G314,Index!$I$15:$I$40)*Index!$E$7</f>
        <v>0</v>
      </c>
      <c r="N314" s="44">
        <f>SUMIF(Index!$K$15:$K$40,'perhitungan individu'!$G314,Index!$L$15:$L$40)*Index!$E$8</f>
        <v>0</v>
      </c>
      <c r="O314" s="44">
        <f>SUMIF(Index!$M$15:$M$40,'perhitungan individu'!H314,Index!$N$15:$N$40)*Index!$E$9</f>
        <v>0</v>
      </c>
      <c r="P314" s="44">
        <f>SUMIF('Kinera Unit Kerja'!$B$4:$B$20,'perhitungan individu'!$G314,'Kinera Unit Kerja'!$G$4:$G$20)*Index!$E$10</f>
        <v>0</v>
      </c>
      <c r="Q314" s="44">
        <f>I314*Index!$E$11</f>
        <v>0</v>
      </c>
      <c r="R314" s="47">
        <f t="shared" si="9"/>
        <v>0</v>
      </c>
      <c r="S314" s="48">
        <f t="shared" si="8"/>
        <v>0</v>
      </c>
    </row>
    <row r="315" spans="1:19">
      <c r="A315" s="42"/>
      <c r="B315" s="33"/>
      <c r="C315" s="33"/>
      <c r="D315" s="43"/>
      <c r="E315" s="33"/>
      <c r="F315" s="33"/>
      <c r="G315" s="33"/>
      <c r="H315" s="33"/>
      <c r="I315" s="33"/>
      <c r="J315" s="44">
        <f>(D315/100000)*Index!$E$4</f>
        <v>0</v>
      </c>
      <c r="K315" s="44">
        <f>SUMIF(Index!$C$15:$C$40,'perhitungan individu'!E315,Index!$D$15:$D$40)*Index!$E$5</f>
        <v>0</v>
      </c>
      <c r="L315" s="44">
        <f>SUMIF(Index!$E$15:$E$40,'perhitungan individu'!F315,Index!F$15:F$40)*Index!$E$6</f>
        <v>0</v>
      </c>
      <c r="M315" s="44">
        <f>SUMIF(Index!$H$15:$H$40,'perhitungan individu'!$G315,Index!$I$15:$I$40)*Index!$E$7</f>
        <v>0</v>
      </c>
      <c r="N315" s="44">
        <f>SUMIF(Index!$K$15:$K$40,'perhitungan individu'!$G315,Index!$L$15:$L$40)*Index!$E$8</f>
        <v>0</v>
      </c>
      <c r="O315" s="44">
        <f>SUMIF(Index!$M$15:$M$40,'perhitungan individu'!H315,Index!$N$15:$N$40)*Index!$E$9</f>
        <v>0</v>
      </c>
      <c r="P315" s="44">
        <f>SUMIF('Kinera Unit Kerja'!$B$4:$B$20,'perhitungan individu'!$G315,'Kinera Unit Kerja'!$G$4:$G$20)*Index!$E$10</f>
        <v>0</v>
      </c>
      <c r="Q315" s="44">
        <f>I315*Index!$E$11</f>
        <v>0</v>
      </c>
      <c r="R315" s="47">
        <f t="shared" si="9"/>
        <v>0</v>
      </c>
      <c r="S315" s="48">
        <f t="shared" si="8"/>
        <v>0</v>
      </c>
    </row>
    <row r="316" spans="1:19">
      <c r="A316" s="42"/>
      <c r="B316" s="33"/>
      <c r="C316" s="33"/>
      <c r="D316" s="43"/>
      <c r="E316" s="33"/>
      <c r="F316" s="33"/>
      <c r="G316" s="33"/>
      <c r="H316" s="33"/>
      <c r="I316" s="33"/>
      <c r="J316" s="44">
        <f>(D316/100000)*Index!$E$4</f>
        <v>0</v>
      </c>
      <c r="K316" s="44">
        <f>SUMIF(Index!$C$15:$C$40,'perhitungan individu'!E316,Index!$D$15:$D$40)*Index!$E$5</f>
        <v>0</v>
      </c>
      <c r="L316" s="44">
        <f>SUMIF(Index!$E$15:$E$40,'perhitungan individu'!F316,Index!F$15:F$40)*Index!$E$6</f>
        <v>0</v>
      </c>
      <c r="M316" s="44">
        <f>SUMIF(Index!$H$15:$H$40,'perhitungan individu'!$G316,Index!$I$15:$I$40)*Index!$E$7</f>
        <v>0</v>
      </c>
      <c r="N316" s="44">
        <f>SUMIF(Index!$K$15:$K$40,'perhitungan individu'!$G316,Index!$L$15:$L$40)*Index!$E$8</f>
        <v>0</v>
      </c>
      <c r="O316" s="44">
        <f>SUMIF(Index!$M$15:$M$40,'perhitungan individu'!H316,Index!$N$15:$N$40)*Index!$E$9</f>
        <v>0</v>
      </c>
      <c r="P316" s="44">
        <f>SUMIF('Kinera Unit Kerja'!$B$4:$B$20,'perhitungan individu'!$G316,'Kinera Unit Kerja'!$G$4:$G$20)*Index!$E$10</f>
        <v>0</v>
      </c>
      <c r="Q316" s="44">
        <f>I316*Index!$E$11</f>
        <v>0</v>
      </c>
      <c r="R316" s="47">
        <f t="shared" si="9"/>
        <v>0</v>
      </c>
      <c r="S316" s="48">
        <f t="shared" si="8"/>
        <v>0</v>
      </c>
    </row>
    <row r="317" spans="1:19">
      <c r="A317" s="42"/>
      <c r="B317" s="33"/>
      <c r="C317" s="33"/>
      <c r="D317" s="43"/>
      <c r="E317" s="33"/>
      <c r="F317" s="33"/>
      <c r="G317" s="33"/>
      <c r="H317" s="33"/>
      <c r="I317" s="33"/>
      <c r="J317" s="44">
        <f>(D317/100000)*Index!$E$4</f>
        <v>0</v>
      </c>
      <c r="K317" s="44">
        <f>SUMIF(Index!$C$15:$C$40,'perhitungan individu'!E317,Index!$D$15:$D$40)*Index!$E$5</f>
        <v>0</v>
      </c>
      <c r="L317" s="44">
        <f>SUMIF(Index!$E$15:$E$40,'perhitungan individu'!F317,Index!F$15:F$40)*Index!$E$6</f>
        <v>0</v>
      </c>
      <c r="M317" s="44">
        <f>SUMIF(Index!$H$15:$H$40,'perhitungan individu'!$G317,Index!$I$15:$I$40)*Index!$E$7</f>
        <v>0</v>
      </c>
      <c r="N317" s="44">
        <f>SUMIF(Index!$K$15:$K$40,'perhitungan individu'!$G317,Index!$L$15:$L$40)*Index!$E$8</f>
        <v>0</v>
      </c>
      <c r="O317" s="44">
        <f>SUMIF(Index!$M$15:$M$40,'perhitungan individu'!H317,Index!$N$15:$N$40)*Index!$E$9</f>
        <v>0</v>
      </c>
      <c r="P317" s="44">
        <f>SUMIF('Kinera Unit Kerja'!$B$4:$B$20,'perhitungan individu'!$G317,'Kinera Unit Kerja'!$G$4:$G$20)*Index!$E$10</f>
        <v>0</v>
      </c>
      <c r="Q317" s="44">
        <f>I317*Index!$E$11</f>
        <v>0</v>
      </c>
      <c r="R317" s="47">
        <f t="shared" si="9"/>
        <v>0</v>
      </c>
      <c r="S317" s="48">
        <f t="shared" si="8"/>
        <v>0</v>
      </c>
    </row>
    <row r="318" spans="1:19">
      <c r="A318" s="42"/>
      <c r="B318" s="33"/>
      <c r="C318" s="33"/>
      <c r="D318" s="43"/>
      <c r="E318" s="33"/>
      <c r="F318" s="33"/>
      <c r="G318" s="33"/>
      <c r="H318" s="33"/>
      <c r="I318" s="33"/>
      <c r="J318" s="44">
        <f>(D318/100000)*Index!$E$4</f>
        <v>0</v>
      </c>
      <c r="K318" s="44">
        <f>SUMIF(Index!$C$15:$C$40,'perhitungan individu'!E318,Index!$D$15:$D$40)*Index!$E$5</f>
        <v>0</v>
      </c>
      <c r="L318" s="44">
        <f>SUMIF(Index!$E$15:$E$40,'perhitungan individu'!F318,Index!F$15:F$40)*Index!$E$6</f>
        <v>0</v>
      </c>
      <c r="M318" s="44">
        <f>SUMIF(Index!$H$15:$H$40,'perhitungan individu'!$G318,Index!$I$15:$I$40)*Index!$E$7</f>
        <v>0</v>
      </c>
      <c r="N318" s="44">
        <f>SUMIF(Index!$K$15:$K$40,'perhitungan individu'!$G318,Index!$L$15:$L$40)*Index!$E$8</f>
        <v>0</v>
      </c>
      <c r="O318" s="44">
        <f>SUMIF(Index!$M$15:$M$40,'perhitungan individu'!H318,Index!$N$15:$N$40)*Index!$E$9</f>
        <v>0</v>
      </c>
      <c r="P318" s="44">
        <f>SUMIF('Kinera Unit Kerja'!$B$4:$B$20,'perhitungan individu'!$G318,'Kinera Unit Kerja'!$G$4:$G$20)*Index!$E$10</f>
        <v>0</v>
      </c>
      <c r="Q318" s="44">
        <f>I318*Index!$E$11</f>
        <v>0</v>
      </c>
      <c r="R318" s="47">
        <f t="shared" si="9"/>
        <v>0</v>
      </c>
      <c r="S318" s="48">
        <f t="shared" si="8"/>
        <v>0</v>
      </c>
    </row>
    <row r="319" spans="1:19">
      <c r="A319" s="42"/>
      <c r="B319" s="33"/>
      <c r="C319" s="33"/>
      <c r="D319" s="43"/>
      <c r="E319" s="33"/>
      <c r="F319" s="33"/>
      <c r="G319" s="33"/>
      <c r="H319" s="33"/>
      <c r="I319" s="33"/>
      <c r="J319" s="44">
        <f>(D319/100000)*Index!$E$4</f>
        <v>0</v>
      </c>
      <c r="K319" s="44">
        <f>SUMIF(Index!$C$15:$C$40,'perhitungan individu'!E319,Index!$D$15:$D$40)*Index!$E$5</f>
        <v>0</v>
      </c>
      <c r="L319" s="44">
        <f>SUMIF(Index!$E$15:$E$40,'perhitungan individu'!F319,Index!F$15:F$40)*Index!$E$6</f>
        <v>0</v>
      </c>
      <c r="M319" s="44">
        <f>SUMIF(Index!$H$15:$H$40,'perhitungan individu'!$G319,Index!$I$15:$I$40)*Index!$E$7</f>
        <v>0</v>
      </c>
      <c r="N319" s="44">
        <f>SUMIF(Index!$K$15:$K$40,'perhitungan individu'!$G319,Index!$L$15:$L$40)*Index!$E$8</f>
        <v>0</v>
      </c>
      <c r="O319" s="44">
        <f>SUMIF(Index!$M$15:$M$40,'perhitungan individu'!H319,Index!$N$15:$N$40)*Index!$E$9</f>
        <v>0</v>
      </c>
      <c r="P319" s="44">
        <f>SUMIF('Kinera Unit Kerja'!$B$4:$B$20,'perhitungan individu'!$G319,'Kinera Unit Kerja'!$G$4:$G$20)*Index!$E$10</f>
        <v>0</v>
      </c>
      <c r="Q319" s="44">
        <f>I319*Index!$E$11</f>
        <v>0</v>
      </c>
      <c r="R319" s="47">
        <f t="shared" si="9"/>
        <v>0</v>
      </c>
      <c r="S319" s="48">
        <f t="shared" si="8"/>
        <v>0</v>
      </c>
    </row>
    <row r="320" spans="1:19">
      <c r="A320" s="42"/>
      <c r="B320" s="33"/>
      <c r="C320" s="33"/>
      <c r="D320" s="43"/>
      <c r="E320" s="33"/>
      <c r="F320" s="33"/>
      <c r="G320" s="33"/>
      <c r="H320" s="33"/>
      <c r="I320" s="33"/>
      <c r="J320" s="44">
        <f>(D320/100000)*Index!$E$4</f>
        <v>0</v>
      </c>
      <c r="K320" s="44">
        <f>SUMIF(Index!$C$15:$C$40,'perhitungan individu'!E320,Index!$D$15:$D$40)*Index!$E$5</f>
        <v>0</v>
      </c>
      <c r="L320" s="44">
        <f>SUMIF(Index!$E$15:$E$40,'perhitungan individu'!F320,Index!F$15:F$40)*Index!$E$6</f>
        <v>0</v>
      </c>
      <c r="M320" s="44">
        <f>SUMIF(Index!$H$15:$H$40,'perhitungan individu'!$G320,Index!$I$15:$I$40)*Index!$E$7</f>
        <v>0</v>
      </c>
      <c r="N320" s="44">
        <f>SUMIF(Index!$K$15:$K$40,'perhitungan individu'!$G320,Index!$L$15:$L$40)*Index!$E$8</f>
        <v>0</v>
      </c>
      <c r="O320" s="44">
        <f>SUMIF(Index!$M$15:$M$40,'perhitungan individu'!H320,Index!$N$15:$N$40)*Index!$E$9</f>
        <v>0</v>
      </c>
      <c r="P320" s="44">
        <f>SUMIF('Kinera Unit Kerja'!$B$4:$B$20,'perhitungan individu'!$G320,'Kinera Unit Kerja'!$G$4:$G$20)*Index!$E$10</f>
        <v>0</v>
      </c>
      <c r="Q320" s="44">
        <f>I320*Index!$E$11</f>
        <v>0</v>
      </c>
      <c r="R320" s="47">
        <f t="shared" si="9"/>
        <v>0</v>
      </c>
      <c r="S320" s="48">
        <f t="shared" si="8"/>
        <v>0</v>
      </c>
    </row>
    <row r="321" spans="1:19">
      <c r="A321" s="42"/>
      <c r="B321" s="33"/>
      <c r="C321" s="33"/>
      <c r="D321" s="43"/>
      <c r="E321" s="33"/>
      <c r="F321" s="33"/>
      <c r="G321" s="33"/>
      <c r="H321" s="33"/>
      <c r="I321" s="33"/>
      <c r="J321" s="44">
        <f>(D321/100000)*Index!$E$4</f>
        <v>0</v>
      </c>
      <c r="K321" s="44">
        <f>SUMIF(Index!$C$15:$C$40,'perhitungan individu'!E321,Index!$D$15:$D$40)*Index!$E$5</f>
        <v>0</v>
      </c>
      <c r="L321" s="44">
        <f>SUMIF(Index!$E$15:$E$40,'perhitungan individu'!F321,Index!F$15:F$40)*Index!$E$6</f>
        <v>0</v>
      </c>
      <c r="M321" s="44">
        <f>SUMIF(Index!$H$15:$H$40,'perhitungan individu'!$G321,Index!$I$15:$I$40)*Index!$E$7</f>
        <v>0</v>
      </c>
      <c r="N321" s="44">
        <f>SUMIF(Index!$K$15:$K$40,'perhitungan individu'!$G321,Index!$L$15:$L$40)*Index!$E$8</f>
        <v>0</v>
      </c>
      <c r="O321" s="44">
        <f>SUMIF(Index!$M$15:$M$40,'perhitungan individu'!H321,Index!$N$15:$N$40)*Index!$E$9</f>
        <v>0</v>
      </c>
      <c r="P321" s="44">
        <f>SUMIF('Kinera Unit Kerja'!$B$4:$B$20,'perhitungan individu'!$G321,'Kinera Unit Kerja'!$G$4:$G$20)*Index!$E$10</f>
        <v>0</v>
      </c>
      <c r="Q321" s="44">
        <f>I321*Index!$E$11</f>
        <v>0</v>
      </c>
      <c r="R321" s="47">
        <f t="shared" si="9"/>
        <v>0</v>
      </c>
      <c r="S321" s="48">
        <f t="shared" si="8"/>
        <v>0</v>
      </c>
    </row>
    <row r="322" spans="1:19">
      <c r="A322" s="42"/>
      <c r="B322" s="33"/>
      <c r="C322" s="33"/>
      <c r="D322" s="43"/>
      <c r="E322" s="33"/>
      <c r="F322" s="33"/>
      <c r="G322" s="33"/>
      <c r="H322" s="33"/>
      <c r="I322" s="33"/>
      <c r="J322" s="44">
        <f>(D322/100000)*Index!$E$4</f>
        <v>0</v>
      </c>
      <c r="K322" s="44">
        <f>SUMIF(Index!$C$15:$C$40,'perhitungan individu'!E322,Index!$D$15:$D$40)*Index!$E$5</f>
        <v>0</v>
      </c>
      <c r="L322" s="44">
        <f>SUMIF(Index!$E$15:$E$40,'perhitungan individu'!F322,Index!F$15:F$40)*Index!$E$6</f>
        <v>0</v>
      </c>
      <c r="M322" s="44">
        <f>SUMIF(Index!$H$15:$H$40,'perhitungan individu'!$G322,Index!$I$15:$I$40)*Index!$E$7</f>
        <v>0</v>
      </c>
      <c r="N322" s="44">
        <f>SUMIF(Index!$K$15:$K$40,'perhitungan individu'!$G322,Index!$L$15:$L$40)*Index!$E$8</f>
        <v>0</v>
      </c>
      <c r="O322" s="44">
        <f>SUMIF(Index!$M$15:$M$40,'perhitungan individu'!H322,Index!$N$15:$N$40)*Index!$E$9</f>
        <v>0</v>
      </c>
      <c r="P322" s="44">
        <f>SUMIF('Kinera Unit Kerja'!$B$4:$B$20,'perhitungan individu'!$G322,'Kinera Unit Kerja'!$G$4:$G$20)*Index!$E$10</f>
        <v>0</v>
      </c>
      <c r="Q322" s="44">
        <f>I322*Index!$E$11</f>
        <v>0</v>
      </c>
      <c r="R322" s="47">
        <f t="shared" si="9"/>
        <v>0</v>
      </c>
      <c r="S322" s="48">
        <f t="shared" si="8"/>
        <v>0</v>
      </c>
    </row>
    <row r="323" spans="1:19">
      <c r="A323" s="42"/>
      <c r="B323" s="33"/>
      <c r="C323" s="33"/>
      <c r="D323" s="43"/>
      <c r="E323" s="33"/>
      <c r="F323" s="33"/>
      <c r="G323" s="33"/>
      <c r="H323" s="33"/>
      <c r="I323" s="33"/>
      <c r="J323" s="44">
        <f>(D323/100000)*Index!$E$4</f>
        <v>0</v>
      </c>
      <c r="K323" s="44">
        <f>SUMIF(Index!$C$15:$C$40,'perhitungan individu'!E323,Index!$D$15:$D$40)*Index!$E$5</f>
        <v>0</v>
      </c>
      <c r="L323" s="44">
        <f>SUMIF(Index!$E$15:$E$40,'perhitungan individu'!F323,Index!F$15:F$40)*Index!$E$6</f>
        <v>0</v>
      </c>
      <c r="M323" s="44">
        <f>SUMIF(Index!$H$15:$H$40,'perhitungan individu'!$G323,Index!$I$15:$I$40)*Index!$E$7</f>
        <v>0</v>
      </c>
      <c r="N323" s="44">
        <f>SUMIF(Index!$K$15:$K$40,'perhitungan individu'!$G323,Index!$L$15:$L$40)*Index!$E$8</f>
        <v>0</v>
      </c>
      <c r="O323" s="44">
        <f>SUMIF(Index!$M$15:$M$40,'perhitungan individu'!H323,Index!$N$15:$N$40)*Index!$E$9</f>
        <v>0</v>
      </c>
      <c r="P323" s="44">
        <f>SUMIF('Kinera Unit Kerja'!$B$4:$B$20,'perhitungan individu'!$G323,'Kinera Unit Kerja'!$G$4:$G$20)*Index!$E$10</f>
        <v>0</v>
      </c>
      <c r="Q323" s="44">
        <f>I323*Index!$E$11</f>
        <v>0</v>
      </c>
      <c r="R323" s="47">
        <f t="shared" si="9"/>
        <v>0</v>
      </c>
      <c r="S323" s="48">
        <f t="shared" si="8"/>
        <v>0</v>
      </c>
    </row>
    <row r="324" spans="1:19">
      <c r="A324" s="42"/>
      <c r="B324" s="33"/>
      <c r="C324" s="33"/>
      <c r="D324" s="43"/>
      <c r="E324" s="33"/>
      <c r="F324" s="33"/>
      <c r="G324" s="33"/>
      <c r="H324" s="33"/>
      <c r="I324" s="33"/>
      <c r="J324" s="44">
        <f>(D324/100000)*Index!$E$4</f>
        <v>0</v>
      </c>
      <c r="K324" s="44">
        <f>SUMIF(Index!$C$15:$C$40,'perhitungan individu'!E324,Index!$D$15:$D$40)*Index!$E$5</f>
        <v>0</v>
      </c>
      <c r="L324" s="44">
        <f>SUMIF(Index!$E$15:$E$40,'perhitungan individu'!F324,Index!F$15:F$40)*Index!$E$6</f>
        <v>0</v>
      </c>
      <c r="M324" s="44">
        <f>SUMIF(Index!$H$15:$H$40,'perhitungan individu'!$G324,Index!$I$15:$I$40)*Index!$E$7</f>
        <v>0</v>
      </c>
      <c r="N324" s="44">
        <f>SUMIF(Index!$K$15:$K$40,'perhitungan individu'!$G324,Index!$L$15:$L$40)*Index!$E$8</f>
        <v>0</v>
      </c>
      <c r="O324" s="44">
        <f>SUMIF(Index!$M$15:$M$40,'perhitungan individu'!H324,Index!$N$15:$N$40)*Index!$E$9</f>
        <v>0</v>
      </c>
      <c r="P324" s="44">
        <f>SUMIF('Kinera Unit Kerja'!$B$4:$B$20,'perhitungan individu'!$G324,'Kinera Unit Kerja'!$G$4:$G$20)*Index!$E$10</f>
        <v>0</v>
      </c>
      <c r="Q324" s="44">
        <f>I324*Index!$E$11</f>
        <v>0</v>
      </c>
      <c r="R324" s="47">
        <f t="shared" si="9"/>
        <v>0</v>
      </c>
      <c r="S324" s="48">
        <f t="shared" si="8"/>
        <v>0</v>
      </c>
    </row>
    <row r="325" spans="1:19">
      <c r="A325" s="42"/>
      <c r="B325" s="33"/>
      <c r="C325" s="33"/>
      <c r="D325" s="43"/>
      <c r="E325" s="33"/>
      <c r="F325" s="33"/>
      <c r="G325" s="33"/>
      <c r="H325" s="33"/>
      <c r="I325" s="33"/>
      <c r="J325" s="44">
        <f>(D325/100000)*Index!$E$4</f>
        <v>0</v>
      </c>
      <c r="K325" s="44">
        <f>SUMIF(Index!$C$15:$C$40,'perhitungan individu'!E325,Index!$D$15:$D$40)*Index!$E$5</f>
        <v>0</v>
      </c>
      <c r="L325" s="44">
        <f>SUMIF(Index!$E$15:$E$40,'perhitungan individu'!F325,Index!F$15:F$40)*Index!$E$6</f>
        <v>0</v>
      </c>
      <c r="M325" s="44">
        <f>SUMIF(Index!$H$15:$H$40,'perhitungan individu'!$G325,Index!$I$15:$I$40)*Index!$E$7</f>
        <v>0</v>
      </c>
      <c r="N325" s="44">
        <f>SUMIF(Index!$K$15:$K$40,'perhitungan individu'!$G325,Index!$L$15:$L$40)*Index!$E$8</f>
        <v>0</v>
      </c>
      <c r="O325" s="44">
        <f>SUMIF(Index!$M$15:$M$40,'perhitungan individu'!H325,Index!$N$15:$N$40)*Index!$E$9</f>
        <v>0</v>
      </c>
      <c r="P325" s="44">
        <f>SUMIF('Kinera Unit Kerja'!$B$4:$B$20,'perhitungan individu'!$G325,'Kinera Unit Kerja'!$G$4:$G$20)*Index!$E$10</f>
        <v>0</v>
      </c>
      <c r="Q325" s="44">
        <f>I325*Index!$E$11</f>
        <v>0</v>
      </c>
      <c r="R325" s="47">
        <f t="shared" si="9"/>
        <v>0</v>
      </c>
      <c r="S325" s="48">
        <f t="shared" si="8"/>
        <v>0</v>
      </c>
    </row>
    <row r="326" spans="1:19">
      <c r="A326" s="42"/>
      <c r="B326" s="33"/>
      <c r="C326" s="33"/>
      <c r="D326" s="43"/>
      <c r="E326" s="33"/>
      <c r="F326" s="33"/>
      <c r="G326" s="33"/>
      <c r="H326" s="33"/>
      <c r="I326" s="33"/>
      <c r="J326" s="44">
        <f>(D326/100000)*Index!$E$4</f>
        <v>0</v>
      </c>
      <c r="K326" s="44">
        <f>SUMIF(Index!$C$15:$C$40,'perhitungan individu'!E326,Index!$D$15:$D$40)*Index!$E$5</f>
        <v>0</v>
      </c>
      <c r="L326" s="44">
        <f>SUMIF(Index!$E$15:$E$40,'perhitungan individu'!F326,Index!F$15:F$40)*Index!$E$6</f>
        <v>0</v>
      </c>
      <c r="M326" s="44">
        <f>SUMIF(Index!$H$15:$H$40,'perhitungan individu'!$G326,Index!$I$15:$I$40)*Index!$E$7</f>
        <v>0</v>
      </c>
      <c r="N326" s="44">
        <f>SUMIF(Index!$K$15:$K$40,'perhitungan individu'!$G326,Index!$L$15:$L$40)*Index!$E$8</f>
        <v>0</v>
      </c>
      <c r="O326" s="44">
        <f>SUMIF(Index!$M$15:$M$40,'perhitungan individu'!H326,Index!$N$15:$N$40)*Index!$E$9</f>
        <v>0</v>
      </c>
      <c r="P326" s="44">
        <f>SUMIF('Kinera Unit Kerja'!$B$4:$B$20,'perhitungan individu'!$G326,'Kinera Unit Kerja'!$G$4:$G$20)*Index!$E$10</f>
        <v>0</v>
      </c>
      <c r="Q326" s="44">
        <f>I326*Index!$E$11</f>
        <v>0</v>
      </c>
      <c r="R326" s="47">
        <f t="shared" si="9"/>
        <v>0</v>
      </c>
      <c r="S326" s="48">
        <f t="shared" si="8"/>
        <v>0</v>
      </c>
    </row>
    <row r="327" spans="1:19">
      <c r="A327" s="42"/>
      <c r="B327" s="33"/>
      <c r="C327" s="33"/>
      <c r="D327" s="43"/>
      <c r="E327" s="33"/>
      <c r="F327" s="33"/>
      <c r="G327" s="33"/>
      <c r="H327" s="33"/>
      <c r="I327" s="33"/>
      <c r="J327" s="44">
        <f>(D327/100000)*Index!$E$4</f>
        <v>0</v>
      </c>
      <c r="K327" s="44">
        <f>SUMIF(Index!$C$15:$C$40,'perhitungan individu'!E327,Index!$D$15:$D$40)*Index!$E$5</f>
        <v>0</v>
      </c>
      <c r="L327" s="44">
        <f>SUMIF(Index!$E$15:$E$40,'perhitungan individu'!F327,Index!F$15:F$40)*Index!$E$6</f>
        <v>0</v>
      </c>
      <c r="M327" s="44">
        <f>SUMIF(Index!$H$15:$H$40,'perhitungan individu'!$G327,Index!$I$15:$I$40)*Index!$E$7</f>
        <v>0</v>
      </c>
      <c r="N327" s="44">
        <f>SUMIF(Index!$K$15:$K$40,'perhitungan individu'!$G327,Index!$L$15:$L$40)*Index!$E$8</f>
        <v>0</v>
      </c>
      <c r="O327" s="44">
        <f>SUMIF(Index!$M$15:$M$40,'perhitungan individu'!H327,Index!$N$15:$N$40)*Index!$E$9</f>
        <v>0</v>
      </c>
      <c r="P327" s="44">
        <f>SUMIF('Kinera Unit Kerja'!$B$4:$B$20,'perhitungan individu'!$G327,'Kinera Unit Kerja'!$G$4:$G$20)*Index!$E$10</f>
        <v>0</v>
      </c>
      <c r="Q327" s="44">
        <f>I327*Index!$E$11</f>
        <v>0</v>
      </c>
      <c r="R327" s="47">
        <f t="shared" si="9"/>
        <v>0</v>
      </c>
      <c r="S327" s="48">
        <f t="shared" si="8"/>
        <v>0</v>
      </c>
    </row>
    <row r="328" spans="1:19">
      <c r="A328" s="42"/>
      <c r="B328" s="33"/>
      <c r="C328" s="33"/>
      <c r="D328" s="43"/>
      <c r="E328" s="33"/>
      <c r="F328" s="33"/>
      <c r="G328" s="33"/>
      <c r="H328" s="33"/>
      <c r="I328" s="33"/>
      <c r="J328" s="44">
        <f>(D328/100000)*Index!$E$4</f>
        <v>0</v>
      </c>
      <c r="K328" s="44">
        <f>SUMIF(Index!$C$15:$C$40,'perhitungan individu'!E328,Index!$D$15:$D$40)*Index!$E$5</f>
        <v>0</v>
      </c>
      <c r="L328" s="44">
        <f>SUMIF(Index!$E$15:$E$40,'perhitungan individu'!F328,Index!F$15:F$40)*Index!$E$6</f>
        <v>0</v>
      </c>
      <c r="M328" s="44">
        <f>SUMIF(Index!$H$15:$H$40,'perhitungan individu'!$G328,Index!$I$15:$I$40)*Index!$E$7</f>
        <v>0</v>
      </c>
      <c r="N328" s="44">
        <f>SUMIF(Index!$K$15:$K$40,'perhitungan individu'!$G328,Index!$L$15:$L$40)*Index!$E$8</f>
        <v>0</v>
      </c>
      <c r="O328" s="44">
        <f>SUMIF(Index!$M$15:$M$40,'perhitungan individu'!H328,Index!$N$15:$N$40)*Index!$E$9</f>
        <v>0</v>
      </c>
      <c r="P328" s="44">
        <f>SUMIF('Kinera Unit Kerja'!$B$4:$B$20,'perhitungan individu'!$G328,'Kinera Unit Kerja'!$G$4:$G$20)*Index!$E$10</f>
        <v>0</v>
      </c>
      <c r="Q328" s="44">
        <f>I328*Index!$E$11</f>
        <v>0</v>
      </c>
      <c r="R328" s="47">
        <f t="shared" si="9"/>
        <v>0</v>
      </c>
      <c r="S328" s="48">
        <f t="shared" si="8"/>
        <v>0</v>
      </c>
    </row>
    <row r="329" spans="1:19">
      <c r="A329" s="42"/>
      <c r="B329" s="33"/>
      <c r="C329" s="33"/>
      <c r="D329" s="43"/>
      <c r="E329" s="33"/>
      <c r="F329" s="33"/>
      <c r="G329" s="33"/>
      <c r="H329" s="33"/>
      <c r="I329" s="33"/>
      <c r="J329" s="44">
        <f>(D329/100000)*Index!$E$4</f>
        <v>0</v>
      </c>
      <c r="K329" s="44">
        <f>SUMIF(Index!$C$15:$C$40,'perhitungan individu'!E329,Index!$D$15:$D$40)*Index!$E$5</f>
        <v>0</v>
      </c>
      <c r="L329" s="44">
        <f>SUMIF(Index!$E$15:$E$40,'perhitungan individu'!F329,Index!F$15:F$40)*Index!$E$6</f>
        <v>0</v>
      </c>
      <c r="M329" s="44">
        <f>SUMIF(Index!$H$15:$H$40,'perhitungan individu'!$G329,Index!$I$15:$I$40)*Index!$E$7</f>
        <v>0</v>
      </c>
      <c r="N329" s="44">
        <f>SUMIF(Index!$K$15:$K$40,'perhitungan individu'!$G329,Index!$L$15:$L$40)*Index!$E$8</f>
        <v>0</v>
      </c>
      <c r="O329" s="44">
        <f>SUMIF(Index!$M$15:$M$40,'perhitungan individu'!H329,Index!$N$15:$N$40)*Index!$E$9</f>
        <v>0</v>
      </c>
      <c r="P329" s="44">
        <f>SUMIF('Kinera Unit Kerja'!$B$4:$B$20,'perhitungan individu'!$G329,'Kinera Unit Kerja'!$G$4:$G$20)*Index!$E$10</f>
        <v>0</v>
      </c>
      <c r="Q329" s="44">
        <f>I329*Index!$E$11</f>
        <v>0</v>
      </c>
      <c r="R329" s="47">
        <f t="shared" si="9"/>
        <v>0</v>
      </c>
      <c r="S329" s="48">
        <f t="shared" si="8"/>
        <v>0</v>
      </c>
    </row>
    <row r="330" spans="1:19">
      <c r="A330" s="42"/>
      <c r="B330" s="33"/>
      <c r="C330" s="33"/>
      <c r="D330" s="43"/>
      <c r="E330" s="33"/>
      <c r="F330" s="33"/>
      <c r="G330" s="33"/>
      <c r="H330" s="33"/>
      <c r="I330" s="33"/>
      <c r="J330" s="44">
        <f>(D330/100000)*Index!$E$4</f>
        <v>0</v>
      </c>
      <c r="K330" s="44">
        <f>SUMIF(Index!$C$15:$C$40,'perhitungan individu'!E330,Index!$D$15:$D$40)*Index!$E$5</f>
        <v>0</v>
      </c>
      <c r="L330" s="44">
        <f>SUMIF(Index!$E$15:$E$40,'perhitungan individu'!F330,Index!F$15:F$40)*Index!$E$6</f>
        <v>0</v>
      </c>
      <c r="M330" s="44">
        <f>SUMIF(Index!$H$15:$H$40,'perhitungan individu'!$G330,Index!$I$15:$I$40)*Index!$E$7</f>
        <v>0</v>
      </c>
      <c r="N330" s="44">
        <f>SUMIF(Index!$K$15:$K$40,'perhitungan individu'!$G330,Index!$L$15:$L$40)*Index!$E$8</f>
        <v>0</v>
      </c>
      <c r="O330" s="44">
        <f>SUMIF(Index!$M$15:$M$40,'perhitungan individu'!H330,Index!$N$15:$N$40)*Index!$E$9</f>
        <v>0</v>
      </c>
      <c r="P330" s="44">
        <f>SUMIF('Kinera Unit Kerja'!$B$4:$B$20,'perhitungan individu'!$G330,'Kinera Unit Kerja'!$G$4:$G$20)*Index!$E$10</f>
        <v>0</v>
      </c>
      <c r="Q330" s="44">
        <f>I330*Index!$E$11</f>
        <v>0</v>
      </c>
      <c r="R330" s="47">
        <f t="shared" si="9"/>
        <v>0</v>
      </c>
      <c r="S330" s="48">
        <f t="shared" si="8"/>
        <v>0</v>
      </c>
    </row>
    <row r="331" spans="1:19">
      <c r="A331" s="42"/>
      <c r="B331" s="33"/>
      <c r="C331" s="33"/>
      <c r="D331" s="43"/>
      <c r="E331" s="33"/>
      <c r="F331" s="33"/>
      <c r="G331" s="33"/>
      <c r="H331" s="33"/>
      <c r="I331" s="33"/>
      <c r="J331" s="44">
        <f>(D331/100000)*Index!$E$4</f>
        <v>0</v>
      </c>
      <c r="K331" s="44">
        <f>SUMIF(Index!$C$15:$C$40,'perhitungan individu'!E331,Index!$D$15:$D$40)*Index!$E$5</f>
        <v>0</v>
      </c>
      <c r="L331" s="44">
        <f>SUMIF(Index!$E$15:$E$40,'perhitungan individu'!F331,Index!F$15:F$40)*Index!$E$6</f>
        <v>0</v>
      </c>
      <c r="M331" s="44">
        <f>SUMIF(Index!$H$15:$H$40,'perhitungan individu'!$G331,Index!$I$15:$I$40)*Index!$E$7</f>
        <v>0</v>
      </c>
      <c r="N331" s="44">
        <f>SUMIF(Index!$K$15:$K$40,'perhitungan individu'!$G331,Index!$L$15:$L$40)*Index!$E$8</f>
        <v>0</v>
      </c>
      <c r="O331" s="44">
        <f>SUMIF(Index!$M$15:$M$40,'perhitungan individu'!H331,Index!$N$15:$N$40)*Index!$E$9</f>
        <v>0</v>
      </c>
      <c r="P331" s="44">
        <f>SUMIF('Kinera Unit Kerja'!$B$4:$B$20,'perhitungan individu'!$G331,'Kinera Unit Kerja'!$G$4:$G$20)*Index!$E$10</f>
        <v>0</v>
      </c>
      <c r="Q331" s="44">
        <f>I331*Index!$E$11</f>
        <v>0</v>
      </c>
      <c r="R331" s="47">
        <f t="shared" si="9"/>
        <v>0</v>
      </c>
      <c r="S331" s="48">
        <f t="shared" si="8"/>
        <v>0</v>
      </c>
    </row>
    <row r="332" spans="1:19">
      <c r="A332" s="42"/>
      <c r="B332" s="33"/>
      <c r="C332" s="33"/>
      <c r="D332" s="43"/>
      <c r="E332" s="33"/>
      <c r="F332" s="33"/>
      <c r="G332" s="33"/>
      <c r="H332" s="33"/>
      <c r="I332" s="33"/>
      <c r="J332" s="44">
        <f>(D332/100000)*Index!$E$4</f>
        <v>0</v>
      </c>
      <c r="K332" s="44">
        <f>SUMIF(Index!$C$15:$C$40,'perhitungan individu'!E332,Index!$D$15:$D$40)*Index!$E$5</f>
        <v>0</v>
      </c>
      <c r="L332" s="44">
        <f>SUMIF(Index!$E$15:$E$40,'perhitungan individu'!F332,Index!F$15:F$40)*Index!$E$6</f>
        <v>0</v>
      </c>
      <c r="M332" s="44">
        <f>SUMIF(Index!$H$15:$H$40,'perhitungan individu'!$G332,Index!$I$15:$I$40)*Index!$E$7</f>
        <v>0</v>
      </c>
      <c r="N332" s="44">
        <f>SUMIF(Index!$K$15:$K$40,'perhitungan individu'!$G332,Index!$L$15:$L$40)*Index!$E$8</f>
        <v>0</v>
      </c>
      <c r="O332" s="44">
        <f>SUMIF(Index!$M$15:$M$40,'perhitungan individu'!H332,Index!$N$15:$N$40)*Index!$E$9</f>
        <v>0</v>
      </c>
      <c r="P332" s="44">
        <f>SUMIF('Kinera Unit Kerja'!$B$4:$B$20,'perhitungan individu'!$G332,'Kinera Unit Kerja'!$G$4:$G$20)*Index!$E$10</f>
        <v>0</v>
      </c>
      <c r="Q332" s="44">
        <f>I332*Index!$E$11</f>
        <v>0</v>
      </c>
      <c r="R332" s="47">
        <f t="shared" si="9"/>
        <v>0</v>
      </c>
      <c r="S332" s="48">
        <f t="shared" si="8"/>
        <v>0</v>
      </c>
    </row>
    <row r="333" spans="1:19">
      <c r="A333" s="42"/>
      <c r="B333" s="33"/>
      <c r="C333" s="33"/>
      <c r="D333" s="43"/>
      <c r="E333" s="33"/>
      <c r="F333" s="33"/>
      <c r="G333" s="33"/>
      <c r="H333" s="33"/>
      <c r="I333" s="33"/>
      <c r="J333" s="44">
        <f>(D333/100000)*Index!$E$4</f>
        <v>0</v>
      </c>
      <c r="K333" s="44">
        <f>SUMIF(Index!$C$15:$C$40,'perhitungan individu'!E333,Index!$D$15:$D$40)*Index!$E$5</f>
        <v>0</v>
      </c>
      <c r="L333" s="44">
        <f>SUMIF(Index!$E$15:$E$40,'perhitungan individu'!F333,Index!F$15:F$40)*Index!$E$6</f>
        <v>0</v>
      </c>
      <c r="M333" s="44">
        <f>SUMIF(Index!$H$15:$H$40,'perhitungan individu'!$G333,Index!$I$15:$I$40)*Index!$E$7</f>
        <v>0</v>
      </c>
      <c r="N333" s="44">
        <f>SUMIF(Index!$K$15:$K$40,'perhitungan individu'!$G333,Index!$L$15:$L$40)*Index!$E$8</f>
        <v>0</v>
      </c>
      <c r="O333" s="44">
        <f>SUMIF(Index!$M$15:$M$40,'perhitungan individu'!H333,Index!$N$15:$N$40)*Index!$E$9</f>
        <v>0</v>
      </c>
      <c r="P333" s="44">
        <f>SUMIF('Kinera Unit Kerja'!$B$4:$B$20,'perhitungan individu'!$G333,'Kinera Unit Kerja'!$G$4:$G$20)*Index!$E$10</f>
        <v>0</v>
      </c>
      <c r="Q333" s="44">
        <f>I333*Index!$E$11</f>
        <v>0</v>
      </c>
      <c r="R333" s="47">
        <f t="shared" si="9"/>
        <v>0</v>
      </c>
      <c r="S333" s="48">
        <f t="shared" si="8"/>
        <v>0</v>
      </c>
    </row>
    <row r="334" spans="1:19">
      <c r="A334" s="42"/>
      <c r="B334" s="33"/>
      <c r="C334" s="33"/>
      <c r="D334" s="43"/>
      <c r="E334" s="33"/>
      <c r="F334" s="33"/>
      <c r="G334" s="33"/>
      <c r="H334" s="33"/>
      <c r="I334" s="33"/>
      <c r="J334" s="44">
        <f>(D334/100000)*Index!$E$4</f>
        <v>0</v>
      </c>
      <c r="K334" s="44">
        <f>SUMIF(Index!$C$15:$C$40,'perhitungan individu'!E334,Index!$D$15:$D$40)*Index!$E$5</f>
        <v>0</v>
      </c>
      <c r="L334" s="44">
        <f>SUMIF(Index!$E$15:$E$40,'perhitungan individu'!F334,Index!F$15:F$40)*Index!$E$6</f>
        <v>0</v>
      </c>
      <c r="M334" s="44">
        <f>SUMIF(Index!$H$15:$H$40,'perhitungan individu'!$G334,Index!$I$15:$I$40)*Index!$E$7</f>
        <v>0</v>
      </c>
      <c r="N334" s="44">
        <f>SUMIF(Index!$K$15:$K$40,'perhitungan individu'!$G334,Index!$L$15:$L$40)*Index!$E$8</f>
        <v>0</v>
      </c>
      <c r="O334" s="44">
        <f>SUMIF(Index!$M$15:$M$40,'perhitungan individu'!H334,Index!$N$15:$N$40)*Index!$E$9</f>
        <v>0</v>
      </c>
      <c r="P334" s="44">
        <f>SUMIF('Kinera Unit Kerja'!$B$4:$B$20,'perhitungan individu'!$G334,'Kinera Unit Kerja'!$G$4:$G$20)*Index!$E$10</f>
        <v>0</v>
      </c>
      <c r="Q334" s="44">
        <f>I334*Index!$E$11</f>
        <v>0</v>
      </c>
      <c r="R334" s="47">
        <f t="shared" si="9"/>
        <v>0</v>
      </c>
      <c r="S334" s="48">
        <f t="shared" si="8"/>
        <v>0</v>
      </c>
    </row>
    <row r="335" spans="1:19">
      <c r="A335" s="42"/>
      <c r="B335" s="33"/>
      <c r="C335" s="33"/>
      <c r="D335" s="43"/>
      <c r="E335" s="33"/>
      <c r="F335" s="33"/>
      <c r="G335" s="33"/>
      <c r="H335" s="33"/>
      <c r="I335" s="33"/>
      <c r="J335" s="44">
        <f>(D335/100000)*Index!$E$4</f>
        <v>0</v>
      </c>
      <c r="K335" s="44">
        <f>SUMIF(Index!$C$15:$C$40,'perhitungan individu'!E335,Index!$D$15:$D$40)*Index!$E$5</f>
        <v>0</v>
      </c>
      <c r="L335" s="44">
        <f>SUMIF(Index!$E$15:$E$40,'perhitungan individu'!F335,Index!F$15:F$40)*Index!$E$6</f>
        <v>0</v>
      </c>
      <c r="M335" s="44">
        <f>SUMIF(Index!$H$15:$H$40,'perhitungan individu'!$G335,Index!$I$15:$I$40)*Index!$E$7</f>
        <v>0</v>
      </c>
      <c r="N335" s="44">
        <f>SUMIF(Index!$K$15:$K$40,'perhitungan individu'!$G335,Index!$L$15:$L$40)*Index!$E$8</f>
        <v>0</v>
      </c>
      <c r="O335" s="44">
        <f>SUMIF(Index!$M$15:$M$40,'perhitungan individu'!H335,Index!$N$15:$N$40)*Index!$E$9</f>
        <v>0</v>
      </c>
      <c r="P335" s="44">
        <f>SUMIF('Kinera Unit Kerja'!$B$4:$B$20,'perhitungan individu'!$G335,'Kinera Unit Kerja'!$G$4:$G$20)*Index!$E$10</f>
        <v>0</v>
      </c>
      <c r="Q335" s="44">
        <f>I335*Index!$E$11</f>
        <v>0</v>
      </c>
      <c r="R335" s="47">
        <f t="shared" si="9"/>
        <v>0</v>
      </c>
      <c r="S335" s="48">
        <f t="shared" si="8"/>
        <v>0</v>
      </c>
    </row>
    <row r="336" spans="1:19">
      <c r="A336" s="42"/>
      <c r="B336" s="33"/>
      <c r="C336" s="33"/>
      <c r="D336" s="43"/>
      <c r="E336" s="33"/>
      <c r="F336" s="33"/>
      <c r="G336" s="33"/>
      <c r="H336" s="33"/>
      <c r="I336" s="33"/>
      <c r="J336" s="44">
        <f>(D336/100000)*Index!$E$4</f>
        <v>0</v>
      </c>
      <c r="K336" s="44">
        <f>SUMIF(Index!$C$15:$C$40,'perhitungan individu'!E336,Index!$D$15:$D$40)*Index!$E$5</f>
        <v>0</v>
      </c>
      <c r="L336" s="44">
        <f>SUMIF(Index!$E$15:$E$40,'perhitungan individu'!F336,Index!F$15:F$40)*Index!$E$6</f>
        <v>0</v>
      </c>
      <c r="M336" s="44">
        <f>SUMIF(Index!$H$15:$H$40,'perhitungan individu'!$G336,Index!$I$15:$I$40)*Index!$E$7</f>
        <v>0</v>
      </c>
      <c r="N336" s="44">
        <f>SUMIF(Index!$K$15:$K$40,'perhitungan individu'!$G336,Index!$L$15:$L$40)*Index!$E$8</f>
        <v>0</v>
      </c>
      <c r="O336" s="44">
        <f>SUMIF(Index!$M$15:$M$40,'perhitungan individu'!H336,Index!$N$15:$N$40)*Index!$E$9</f>
        <v>0</v>
      </c>
      <c r="P336" s="44">
        <f>SUMIF('Kinera Unit Kerja'!$B$4:$B$20,'perhitungan individu'!$G336,'Kinera Unit Kerja'!$G$4:$G$20)*Index!$E$10</f>
        <v>0</v>
      </c>
      <c r="Q336" s="44">
        <f>I336*Index!$E$11</f>
        <v>0</v>
      </c>
      <c r="R336" s="47">
        <f t="shared" si="9"/>
        <v>0</v>
      </c>
      <c r="S336" s="48">
        <f t="shared" si="8"/>
        <v>0</v>
      </c>
    </row>
    <row r="337" spans="1:19">
      <c r="A337" s="42"/>
      <c r="B337" s="33"/>
      <c r="C337" s="33"/>
      <c r="D337" s="43"/>
      <c r="E337" s="33"/>
      <c r="F337" s="33"/>
      <c r="G337" s="33"/>
      <c r="H337" s="33"/>
      <c r="I337" s="33"/>
      <c r="J337" s="44">
        <f>(D337/100000)*Index!$E$4</f>
        <v>0</v>
      </c>
      <c r="K337" s="44">
        <f>SUMIF(Index!$C$15:$C$40,'perhitungan individu'!E337,Index!$D$15:$D$40)*Index!$E$5</f>
        <v>0</v>
      </c>
      <c r="L337" s="44">
        <f>SUMIF(Index!$E$15:$E$40,'perhitungan individu'!F337,Index!F$15:F$40)*Index!$E$6</f>
        <v>0</v>
      </c>
      <c r="M337" s="44">
        <f>SUMIF(Index!$H$15:$H$40,'perhitungan individu'!$G337,Index!$I$15:$I$40)*Index!$E$7</f>
        <v>0</v>
      </c>
      <c r="N337" s="44">
        <f>SUMIF(Index!$K$15:$K$40,'perhitungan individu'!$G337,Index!$L$15:$L$40)*Index!$E$8</f>
        <v>0</v>
      </c>
      <c r="O337" s="44">
        <f>SUMIF(Index!$M$15:$M$40,'perhitungan individu'!H337,Index!$N$15:$N$40)*Index!$E$9</f>
        <v>0</v>
      </c>
      <c r="P337" s="44">
        <f>SUMIF('Kinera Unit Kerja'!$B$4:$B$20,'perhitungan individu'!$G337,'Kinera Unit Kerja'!$G$4:$G$20)*Index!$E$10</f>
        <v>0</v>
      </c>
      <c r="Q337" s="44">
        <f>I337*Index!$E$11</f>
        <v>0</v>
      </c>
      <c r="R337" s="47">
        <f t="shared" si="9"/>
        <v>0</v>
      </c>
      <c r="S337" s="48">
        <f t="shared" si="8"/>
        <v>0</v>
      </c>
    </row>
    <row r="338" spans="1:19">
      <c r="A338" s="42"/>
      <c r="B338" s="33"/>
      <c r="C338" s="33"/>
      <c r="D338" s="43"/>
      <c r="E338" s="33"/>
      <c r="F338" s="33"/>
      <c r="G338" s="33"/>
      <c r="H338" s="33"/>
      <c r="I338" s="33"/>
      <c r="J338" s="44">
        <f>(D338/100000)*Index!$E$4</f>
        <v>0</v>
      </c>
      <c r="K338" s="44">
        <f>SUMIF(Index!$C$15:$C$40,'perhitungan individu'!E338,Index!$D$15:$D$40)*Index!$E$5</f>
        <v>0</v>
      </c>
      <c r="L338" s="44">
        <f>SUMIF(Index!$E$15:$E$40,'perhitungan individu'!F338,Index!F$15:F$40)*Index!$E$6</f>
        <v>0</v>
      </c>
      <c r="M338" s="44">
        <f>SUMIF(Index!$H$15:$H$40,'perhitungan individu'!$G338,Index!$I$15:$I$40)*Index!$E$7</f>
        <v>0</v>
      </c>
      <c r="N338" s="44">
        <f>SUMIF(Index!$K$15:$K$40,'perhitungan individu'!$G338,Index!$L$15:$L$40)*Index!$E$8</f>
        <v>0</v>
      </c>
      <c r="O338" s="44">
        <f>SUMIF(Index!$M$15:$M$40,'perhitungan individu'!H338,Index!$N$15:$N$40)*Index!$E$9</f>
        <v>0</v>
      </c>
      <c r="P338" s="44">
        <f>SUMIF('Kinera Unit Kerja'!$B$4:$B$20,'perhitungan individu'!$G338,'Kinera Unit Kerja'!$G$4:$G$20)*Index!$E$10</f>
        <v>0</v>
      </c>
      <c r="Q338" s="44">
        <f>I338*Index!$E$11</f>
        <v>0</v>
      </c>
      <c r="R338" s="47">
        <f t="shared" si="9"/>
        <v>0</v>
      </c>
      <c r="S338" s="48">
        <f t="shared" si="8"/>
        <v>0</v>
      </c>
    </row>
    <row r="339" spans="1:19">
      <c r="A339" s="42"/>
      <c r="B339" s="33"/>
      <c r="C339" s="33"/>
      <c r="D339" s="43"/>
      <c r="E339" s="33"/>
      <c r="F339" s="33"/>
      <c r="G339" s="33"/>
      <c r="H339" s="33"/>
      <c r="I339" s="33"/>
      <c r="J339" s="44">
        <f>(D339/100000)*Index!$E$4</f>
        <v>0</v>
      </c>
      <c r="K339" s="44">
        <f>SUMIF(Index!$C$15:$C$40,'perhitungan individu'!E339,Index!$D$15:$D$40)*Index!$E$5</f>
        <v>0</v>
      </c>
      <c r="L339" s="44">
        <f>SUMIF(Index!$E$15:$E$40,'perhitungan individu'!F339,Index!F$15:F$40)*Index!$E$6</f>
        <v>0</v>
      </c>
      <c r="M339" s="44">
        <f>SUMIF(Index!$H$15:$H$40,'perhitungan individu'!$G339,Index!$I$15:$I$40)*Index!$E$7</f>
        <v>0</v>
      </c>
      <c r="N339" s="44">
        <f>SUMIF(Index!$K$15:$K$40,'perhitungan individu'!$G339,Index!$L$15:$L$40)*Index!$E$8</f>
        <v>0</v>
      </c>
      <c r="O339" s="44">
        <f>SUMIF(Index!$M$15:$M$40,'perhitungan individu'!H339,Index!$N$15:$N$40)*Index!$E$9</f>
        <v>0</v>
      </c>
      <c r="P339" s="44">
        <f>SUMIF('Kinera Unit Kerja'!$B$4:$B$20,'perhitungan individu'!$G339,'Kinera Unit Kerja'!$G$4:$G$20)*Index!$E$10</f>
        <v>0</v>
      </c>
      <c r="Q339" s="44">
        <f>I339*Index!$E$11</f>
        <v>0</v>
      </c>
      <c r="R339" s="47">
        <f t="shared" si="9"/>
        <v>0</v>
      </c>
      <c r="S339" s="48">
        <f t="shared" si="8"/>
        <v>0</v>
      </c>
    </row>
    <row r="340" spans="1:19">
      <c r="A340" s="42"/>
      <c r="B340" s="33"/>
      <c r="C340" s="33"/>
      <c r="D340" s="43"/>
      <c r="E340" s="33"/>
      <c r="F340" s="33"/>
      <c r="G340" s="33"/>
      <c r="H340" s="33"/>
      <c r="I340" s="33"/>
      <c r="J340" s="44">
        <f>(D340/100000)*Index!$E$4</f>
        <v>0</v>
      </c>
      <c r="K340" s="44">
        <f>SUMIF(Index!$C$15:$C$40,'perhitungan individu'!E340,Index!$D$15:$D$40)*Index!$E$5</f>
        <v>0</v>
      </c>
      <c r="L340" s="44">
        <f>SUMIF(Index!$E$15:$E$40,'perhitungan individu'!F340,Index!F$15:F$40)*Index!$E$6</f>
        <v>0</v>
      </c>
      <c r="M340" s="44">
        <f>SUMIF(Index!$H$15:$H$40,'perhitungan individu'!$G340,Index!$I$15:$I$40)*Index!$E$7</f>
        <v>0</v>
      </c>
      <c r="N340" s="44">
        <f>SUMIF(Index!$K$15:$K$40,'perhitungan individu'!$G340,Index!$L$15:$L$40)*Index!$E$8</f>
        <v>0</v>
      </c>
      <c r="O340" s="44">
        <f>SUMIF(Index!$M$15:$M$40,'perhitungan individu'!H340,Index!$N$15:$N$40)*Index!$E$9</f>
        <v>0</v>
      </c>
      <c r="P340" s="44">
        <f>SUMIF('Kinera Unit Kerja'!$B$4:$B$20,'perhitungan individu'!$G340,'Kinera Unit Kerja'!$G$4:$G$20)*Index!$E$10</f>
        <v>0</v>
      </c>
      <c r="Q340" s="44">
        <f>I340*Index!$E$11</f>
        <v>0</v>
      </c>
      <c r="R340" s="47">
        <f t="shared" si="9"/>
        <v>0</v>
      </c>
      <c r="S340" s="48">
        <f t="shared" si="8"/>
        <v>0</v>
      </c>
    </row>
    <row r="341" spans="1:19">
      <c r="A341" s="42"/>
      <c r="B341" s="33"/>
      <c r="C341" s="33"/>
      <c r="D341" s="43"/>
      <c r="E341" s="33"/>
      <c r="F341" s="33"/>
      <c r="G341" s="33"/>
      <c r="H341" s="33"/>
      <c r="I341" s="33"/>
      <c r="J341" s="44">
        <f>(D341/100000)*Index!$E$4</f>
        <v>0</v>
      </c>
      <c r="K341" s="44">
        <f>SUMIF(Index!$C$15:$C$40,'perhitungan individu'!E341,Index!$D$15:$D$40)*Index!$E$5</f>
        <v>0</v>
      </c>
      <c r="L341" s="44">
        <f>SUMIF(Index!$E$15:$E$40,'perhitungan individu'!F341,Index!F$15:F$40)*Index!$E$6</f>
        <v>0</v>
      </c>
      <c r="M341" s="44">
        <f>SUMIF(Index!$H$15:$H$40,'perhitungan individu'!$G341,Index!$I$15:$I$40)*Index!$E$7</f>
        <v>0</v>
      </c>
      <c r="N341" s="44">
        <f>SUMIF(Index!$K$15:$K$40,'perhitungan individu'!$G341,Index!$L$15:$L$40)*Index!$E$8</f>
        <v>0</v>
      </c>
      <c r="O341" s="44">
        <f>SUMIF(Index!$M$15:$M$40,'perhitungan individu'!H341,Index!$N$15:$N$40)*Index!$E$9</f>
        <v>0</v>
      </c>
      <c r="P341" s="44">
        <f>SUMIF('Kinera Unit Kerja'!$B$4:$B$20,'perhitungan individu'!$G341,'Kinera Unit Kerja'!$G$4:$G$20)*Index!$E$10</f>
        <v>0</v>
      </c>
      <c r="Q341" s="44">
        <f>I341*Index!$E$11</f>
        <v>0</v>
      </c>
      <c r="R341" s="47">
        <f t="shared" si="9"/>
        <v>0</v>
      </c>
      <c r="S341" s="48">
        <f t="shared" si="8"/>
        <v>0</v>
      </c>
    </row>
    <row r="342" spans="1:19">
      <c r="A342" s="42"/>
      <c r="B342" s="33"/>
      <c r="C342" s="33"/>
      <c r="D342" s="43"/>
      <c r="E342" s="33"/>
      <c r="F342" s="33"/>
      <c r="G342" s="33"/>
      <c r="H342" s="33"/>
      <c r="I342" s="33"/>
      <c r="J342" s="44">
        <f>(D342/100000)*Index!$E$4</f>
        <v>0</v>
      </c>
      <c r="K342" s="44">
        <f>SUMIF(Index!$C$15:$C$40,'perhitungan individu'!E342,Index!$D$15:$D$40)*Index!$E$5</f>
        <v>0</v>
      </c>
      <c r="L342" s="44">
        <f>SUMIF(Index!$E$15:$E$40,'perhitungan individu'!F342,Index!F$15:F$40)*Index!$E$6</f>
        <v>0</v>
      </c>
      <c r="M342" s="44">
        <f>SUMIF(Index!$H$15:$H$40,'perhitungan individu'!$G342,Index!$I$15:$I$40)*Index!$E$7</f>
        <v>0</v>
      </c>
      <c r="N342" s="44">
        <f>SUMIF(Index!$K$15:$K$40,'perhitungan individu'!$G342,Index!$L$15:$L$40)*Index!$E$8</f>
        <v>0</v>
      </c>
      <c r="O342" s="44">
        <f>SUMIF(Index!$M$15:$M$40,'perhitungan individu'!H342,Index!$N$15:$N$40)*Index!$E$9</f>
        <v>0</v>
      </c>
      <c r="P342" s="44">
        <f>SUMIF('Kinera Unit Kerja'!$B$4:$B$20,'perhitungan individu'!$G342,'Kinera Unit Kerja'!$G$4:$G$20)*Index!$E$10</f>
        <v>0</v>
      </c>
      <c r="Q342" s="44">
        <f>I342*Index!$E$11</f>
        <v>0</v>
      </c>
      <c r="R342" s="47">
        <f t="shared" si="9"/>
        <v>0</v>
      </c>
      <c r="S342" s="48">
        <f t="shared" si="8"/>
        <v>0</v>
      </c>
    </row>
    <row r="343" spans="1:19">
      <c r="A343" s="42"/>
      <c r="B343" s="33"/>
      <c r="C343" s="33"/>
      <c r="D343" s="43"/>
      <c r="E343" s="33"/>
      <c r="F343" s="33"/>
      <c r="G343" s="33"/>
      <c r="H343" s="33"/>
      <c r="I343" s="33"/>
      <c r="J343" s="44">
        <f>(D343/100000)*Index!$E$4</f>
        <v>0</v>
      </c>
      <c r="K343" s="44">
        <f>SUMIF(Index!$C$15:$C$40,'perhitungan individu'!E343,Index!$D$15:$D$40)*Index!$E$5</f>
        <v>0</v>
      </c>
      <c r="L343" s="44">
        <f>SUMIF(Index!$E$15:$E$40,'perhitungan individu'!F343,Index!F$15:F$40)*Index!$E$6</f>
        <v>0</v>
      </c>
      <c r="M343" s="44">
        <f>SUMIF(Index!$H$15:$H$40,'perhitungan individu'!$G343,Index!$I$15:$I$40)*Index!$E$7</f>
        <v>0</v>
      </c>
      <c r="N343" s="44">
        <f>SUMIF(Index!$K$15:$K$40,'perhitungan individu'!$G343,Index!$L$15:$L$40)*Index!$E$8</f>
        <v>0</v>
      </c>
      <c r="O343" s="44">
        <f>SUMIF(Index!$M$15:$M$40,'perhitungan individu'!H343,Index!$N$15:$N$40)*Index!$E$9</f>
        <v>0</v>
      </c>
      <c r="P343" s="44">
        <f>SUMIF('Kinera Unit Kerja'!$B$4:$B$20,'perhitungan individu'!$G343,'Kinera Unit Kerja'!$G$4:$G$20)*Index!$E$10</f>
        <v>0</v>
      </c>
      <c r="Q343" s="44">
        <f>I343*Index!$E$11</f>
        <v>0</v>
      </c>
      <c r="R343" s="47">
        <f t="shared" si="9"/>
        <v>0</v>
      </c>
      <c r="S343" s="48">
        <f t="shared" si="8"/>
        <v>0</v>
      </c>
    </row>
    <row r="344" spans="1:19">
      <c r="A344" s="42"/>
      <c r="B344" s="33"/>
      <c r="C344" s="33"/>
      <c r="D344" s="43"/>
      <c r="E344" s="33"/>
      <c r="F344" s="33"/>
      <c r="G344" s="33"/>
      <c r="H344" s="33"/>
      <c r="I344" s="33"/>
      <c r="J344" s="44">
        <f>(D344/100000)*Index!$E$4</f>
        <v>0</v>
      </c>
      <c r="K344" s="44">
        <f>SUMIF(Index!$C$15:$C$40,'perhitungan individu'!E344,Index!$D$15:$D$40)*Index!$E$5</f>
        <v>0</v>
      </c>
      <c r="L344" s="44">
        <f>SUMIF(Index!$E$15:$E$40,'perhitungan individu'!F344,Index!F$15:F$40)*Index!$E$6</f>
        <v>0</v>
      </c>
      <c r="M344" s="44">
        <f>SUMIF(Index!$H$15:$H$40,'perhitungan individu'!$G344,Index!$I$15:$I$40)*Index!$E$7</f>
        <v>0</v>
      </c>
      <c r="N344" s="44">
        <f>SUMIF(Index!$K$15:$K$40,'perhitungan individu'!$G344,Index!$L$15:$L$40)*Index!$E$8</f>
        <v>0</v>
      </c>
      <c r="O344" s="44">
        <f>SUMIF(Index!$M$15:$M$40,'perhitungan individu'!H344,Index!$N$15:$N$40)*Index!$E$9</f>
        <v>0</v>
      </c>
      <c r="P344" s="44">
        <f>SUMIF('Kinera Unit Kerja'!$B$4:$B$20,'perhitungan individu'!$G344,'Kinera Unit Kerja'!$G$4:$G$20)*Index!$E$10</f>
        <v>0</v>
      </c>
      <c r="Q344" s="44">
        <f>I344*Index!$E$11</f>
        <v>0</v>
      </c>
      <c r="R344" s="47">
        <f t="shared" si="9"/>
        <v>0</v>
      </c>
      <c r="S344" s="48">
        <f t="shared" si="8"/>
        <v>0</v>
      </c>
    </row>
    <row r="345" spans="1:19">
      <c r="A345" s="42"/>
      <c r="B345" s="33"/>
      <c r="C345" s="33"/>
      <c r="D345" s="43"/>
      <c r="E345" s="33"/>
      <c r="F345" s="33"/>
      <c r="G345" s="33"/>
      <c r="H345" s="33"/>
      <c r="I345" s="33"/>
      <c r="J345" s="44">
        <f>(D345/100000)*Index!$E$4</f>
        <v>0</v>
      </c>
      <c r="K345" s="44">
        <f>SUMIF(Index!$C$15:$C$40,'perhitungan individu'!E345,Index!$D$15:$D$40)*Index!$E$5</f>
        <v>0</v>
      </c>
      <c r="L345" s="44">
        <f>SUMIF(Index!$E$15:$E$40,'perhitungan individu'!F345,Index!F$15:F$40)*Index!$E$6</f>
        <v>0</v>
      </c>
      <c r="M345" s="44">
        <f>SUMIF(Index!$H$15:$H$40,'perhitungan individu'!$G345,Index!$I$15:$I$40)*Index!$E$7</f>
        <v>0</v>
      </c>
      <c r="N345" s="44">
        <f>SUMIF(Index!$K$15:$K$40,'perhitungan individu'!$G345,Index!$L$15:$L$40)*Index!$E$8</f>
        <v>0</v>
      </c>
      <c r="O345" s="44">
        <f>SUMIF(Index!$M$15:$M$40,'perhitungan individu'!H345,Index!$N$15:$N$40)*Index!$E$9</f>
        <v>0</v>
      </c>
      <c r="P345" s="44">
        <f>SUMIF('Kinera Unit Kerja'!$B$4:$B$20,'perhitungan individu'!$G345,'Kinera Unit Kerja'!$G$4:$G$20)*Index!$E$10</f>
        <v>0</v>
      </c>
      <c r="Q345" s="44">
        <f>I345*Index!$E$11</f>
        <v>0</v>
      </c>
      <c r="R345" s="47">
        <f t="shared" si="9"/>
        <v>0</v>
      </c>
      <c r="S345" s="48">
        <f t="shared" si="8"/>
        <v>0</v>
      </c>
    </row>
    <row r="346" spans="1:19">
      <c r="A346" s="42"/>
      <c r="B346" s="33"/>
      <c r="C346" s="33"/>
      <c r="D346" s="43"/>
      <c r="E346" s="33"/>
      <c r="F346" s="33"/>
      <c r="G346" s="33"/>
      <c r="H346" s="33"/>
      <c r="I346" s="33"/>
      <c r="J346" s="44">
        <f>(D346/100000)*Index!$E$4</f>
        <v>0</v>
      </c>
      <c r="K346" s="44">
        <f>SUMIF(Index!$C$15:$C$40,'perhitungan individu'!E346,Index!$D$15:$D$40)*Index!$E$5</f>
        <v>0</v>
      </c>
      <c r="L346" s="44">
        <f>SUMIF(Index!$E$15:$E$40,'perhitungan individu'!F346,Index!F$15:F$40)*Index!$E$6</f>
        <v>0</v>
      </c>
      <c r="M346" s="44">
        <f>SUMIF(Index!$H$15:$H$40,'perhitungan individu'!$G346,Index!$I$15:$I$40)*Index!$E$7</f>
        <v>0</v>
      </c>
      <c r="N346" s="44">
        <f>SUMIF(Index!$K$15:$K$40,'perhitungan individu'!$G346,Index!$L$15:$L$40)*Index!$E$8</f>
        <v>0</v>
      </c>
      <c r="O346" s="44">
        <f>SUMIF(Index!$M$15:$M$40,'perhitungan individu'!H346,Index!$N$15:$N$40)*Index!$E$9</f>
        <v>0</v>
      </c>
      <c r="P346" s="44">
        <f>SUMIF('Kinera Unit Kerja'!$B$4:$B$20,'perhitungan individu'!$G346,'Kinera Unit Kerja'!$G$4:$G$20)*Index!$E$10</f>
        <v>0</v>
      </c>
      <c r="Q346" s="44">
        <f>I346*Index!$E$11</f>
        <v>0</v>
      </c>
      <c r="R346" s="47">
        <f t="shared" si="9"/>
        <v>0</v>
      </c>
      <c r="S346" s="48">
        <f t="shared" si="8"/>
        <v>0</v>
      </c>
    </row>
    <row r="347" spans="1:19">
      <c r="A347" s="42"/>
      <c r="B347" s="33"/>
      <c r="C347" s="33"/>
      <c r="D347" s="43"/>
      <c r="E347" s="33"/>
      <c r="F347" s="33"/>
      <c r="G347" s="33"/>
      <c r="H347" s="33"/>
      <c r="I347" s="33"/>
      <c r="J347" s="44">
        <f>(D347/100000)*Index!$E$4</f>
        <v>0</v>
      </c>
      <c r="K347" s="44">
        <f>SUMIF(Index!$C$15:$C$40,'perhitungan individu'!E347,Index!$D$15:$D$40)*Index!$E$5</f>
        <v>0</v>
      </c>
      <c r="L347" s="44">
        <f>SUMIF(Index!$E$15:$E$40,'perhitungan individu'!F347,Index!F$15:F$40)*Index!$E$6</f>
        <v>0</v>
      </c>
      <c r="M347" s="44">
        <f>SUMIF(Index!$H$15:$H$40,'perhitungan individu'!$G347,Index!$I$15:$I$40)*Index!$E$7</f>
        <v>0</v>
      </c>
      <c r="N347" s="44">
        <f>SUMIF(Index!$K$15:$K$40,'perhitungan individu'!$G347,Index!$L$15:$L$40)*Index!$E$8</f>
        <v>0</v>
      </c>
      <c r="O347" s="44">
        <f>SUMIF(Index!$M$15:$M$40,'perhitungan individu'!H347,Index!$N$15:$N$40)*Index!$E$9</f>
        <v>0</v>
      </c>
      <c r="P347" s="44">
        <f>SUMIF('Kinera Unit Kerja'!$B$4:$B$20,'perhitungan individu'!$G347,'Kinera Unit Kerja'!$G$4:$G$20)*Index!$E$10</f>
        <v>0</v>
      </c>
      <c r="Q347" s="44">
        <f>I347*Index!$E$11</f>
        <v>0</v>
      </c>
      <c r="R347" s="47">
        <f t="shared" si="9"/>
        <v>0</v>
      </c>
      <c r="S347" s="48">
        <f t="shared" si="8"/>
        <v>0</v>
      </c>
    </row>
    <row r="348" spans="1:19">
      <c r="A348" s="42"/>
      <c r="B348" s="33"/>
      <c r="C348" s="33"/>
      <c r="D348" s="43"/>
      <c r="E348" s="33"/>
      <c r="F348" s="33"/>
      <c r="G348" s="33"/>
      <c r="H348" s="33"/>
      <c r="I348" s="33"/>
      <c r="J348" s="44">
        <f>(D348/100000)*Index!$E$4</f>
        <v>0</v>
      </c>
      <c r="K348" s="44">
        <f>SUMIF(Index!$C$15:$C$40,'perhitungan individu'!E348,Index!$D$15:$D$40)*Index!$E$5</f>
        <v>0</v>
      </c>
      <c r="L348" s="44">
        <f>SUMIF(Index!$E$15:$E$40,'perhitungan individu'!F348,Index!F$15:F$40)*Index!$E$6</f>
        <v>0</v>
      </c>
      <c r="M348" s="44">
        <f>SUMIF(Index!$H$15:$H$40,'perhitungan individu'!$G348,Index!$I$15:$I$40)*Index!$E$7</f>
        <v>0</v>
      </c>
      <c r="N348" s="44">
        <f>SUMIF(Index!$K$15:$K$40,'perhitungan individu'!$G348,Index!$L$15:$L$40)*Index!$E$8</f>
        <v>0</v>
      </c>
      <c r="O348" s="44">
        <f>SUMIF(Index!$M$15:$M$40,'perhitungan individu'!H348,Index!$N$15:$N$40)*Index!$E$9</f>
        <v>0</v>
      </c>
      <c r="P348" s="44">
        <f>SUMIF('Kinera Unit Kerja'!$B$4:$B$20,'perhitungan individu'!$G348,'Kinera Unit Kerja'!$G$4:$G$20)*Index!$E$10</f>
        <v>0</v>
      </c>
      <c r="Q348" s="44">
        <f>I348*Index!$E$11</f>
        <v>0</v>
      </c>
      <c r="R348" s="47">
        <f t="shared" si="9"/>
        <v>0</v>
      </c>
      <c r="S348" s="48">
        <f t="shared" si="8"/>
        <v>0</v>
      </c>
    </row>
    <row r="349" spans="1:19">
      <c r="A349" s="42"/>
      <c r="B349" s="33"/>
      <c r="C349" s="33"/>
      <c r="D349" s="43"/>
      <c r="E349" s="33"/>
      <c r="F349" s="33"/>
      <c r="G349" s="33"/>
      <c r="H349" s="33"/>
      <c r="I349" s="33"/>
      <c r="J349" s="44">
        <f>(D349/100000)*Index!$E$4</f>
        <v>0</v>
      </c>
      <c r="K349" s="44">
        <f>SUMIF(Index!$C$15:$C$40,'perhitungan individu'!E349,Index!$D$15:$D$40)*Index!$E$5</f>
        <v>0</v>
      </c>
      <c r="L349" s="44">
        <f>SUMIF(Index!$E$15:$E$40,'perhitungan individu'!F349,Index!F$15:F$40)*Index!$E$6</f>
        <v>0</v>
      </c>
      <c r="M349" s="44">
        <f>SUMIF(Index!$H$15:$H$40,'perhitungan individu'!$G349,Index!$I$15:$I$40)*Index!$E$7</f>
        <v>0</v>
      </c>
      <c r="N349" s="44">
        <f>SUMIF(Index!$K$15:$K$40,'perhitungan individu'!$G349,Index!$L$15:$L$40)*Index!$E$8</f>
        <v>0</v>
      </c>
      <c r="O349" s="44">
        <f>SUMIF(Index!$M$15:$M$40,'perhitungan individu'!H349,Index!$N$15:$N$40)*Index!$E$9</f>
        <v>0</v>
      </c>
      <c r="P349" s="44">
        <f>SUMIF('Kinera Unit Kerja'!$B$4:$B$20,'perhitungan individu'!$G349,'Kinera Unit Kerja'!$G$4:$G$20)*Index!$E$10</f>
        <v>0</v>
      </c>
      <c r="Q349" s="44">
        <f>I349*Index!$E$11</f>
        <v>0</v>
      </c>
      <c r="R349" s="47">
        <f t="shared" si="9"/>
        <v>0</v>
      </c>
      <c r="S349" s="48">
        <f t="shared" si="8"/>
        <v>0</v>
      </c>
    </row>
    <row r="350" spans="1:19">
      <c r="A350" s="42"/>
      <c r="B350" s="33"/>
      <c r="C350" s="33"/>
      <c r="D350" s="43"/>
      <c r="E350" s="33"/>
      <c r="F350" s="33"/>
      <c r="G350" s="33"/>
      <c r="H350" s="33"/>
      <c r="I350" s="33"/>
      <c r="J350" s="44">
        <f>(D350/100000)*Index!$E$4</f>
        <v>0</v>
      </c>
      <c r="K350" s="44">
        <f>SUMIF(Index!$C$15:$C$40,'perhitungan individu'!E350,Index!$D$15:$D$40)*Index!$E$5</f>
        <v>0</v>
      </c>
      <c r="L350" s="44">
        <f>SUMIF(Index!$E$15:$E$40,'perhitungan individu'!F350,Index!F$15:F$40)*Index!$E$6</f>
        <v>0</v>
      </c>
      <c r="M350" s="44">
        <f>SUMIF(Index!$H$15:$H$40,'perhitungan individu'!$G350,Index!$I$15:$I$40)*Index!$E$7</f>
        <v>0</v>
      </c>
      <c r="N350" s="44">
        <f>SUMIF(Index!$K$15:$K$40,'perhitungan individu'!$G350,Index!$L$15:$L$40)*Index!$E$8</f>
        <v>0</v>
      </c>
      <c r="O350" s="44">
        <f>SUMIF(Index!$M$15:$M$40,'perhitungan individu'!H350,Index!$N$15:$N$40)*Index!$E$9</f>
        <v>0</v>
      </c>
      <c r="P350" s="44">
        <f>SUMIF('Kinera Unit Kerja'!$B$4:$B$20,'perhitungan individu'!$G350,'Kinera Unit Kerja'!$G$4:$G$20)*Index!$E$10</f>
        <v>0</v>
      </c>
      <c r="Q350" s="44">
        <f>I350*Index!$E$11</f>
        <v>0</v>
      </c>
      <c r="R350" s="47">
        <f t="shared" si="9"/>
        <v>0</v>
      </c>
      <c r="S350" s="48">
        <f t="shared" si="8"/>
        <v>0</v>
      </c>
    </row>
    <row r="351" spans="1:19">
      <c r="A351" s="42"/>
      <c r="B351" s="33"/>
      <c r="C351" s="33"/>
      <c r="D351" s="43"/>
      <c r="E351" s="33"/>
      <c r="F351" s="33"/>
      <c r="G351" s="33"/>
      <c r="H351" s="33"/>
      <c r="I351" s="33"/>
      <c r="J351" s="44">
        <f>(D351/100000)*Index!$E$4</f>
        <v>0</v>
      </c>
      <c r="K351" s="44">
        <f>SUMIF(Index!$C$15:$C$40,'perhitungan individu'!E351,Index!$D$15:$D$40)*Index!$E$5</f>
        <v>0</v>
      </c>
      <c r="L351" s="44">
        <f>SUMIF(Index!$E$15:$E$40,'perhitungan individu'!F351,Index!F$15:F$40)*Index!$E$6</f>
        <v>0</v>
      </c>
      <c r="M351" s="44">
        <f>SUMIF(Index!$H$15:$H$40,'perhitungan individu'!$G351,Index!$I$15:$I$40)*Index!$E$7</f>
        <v>0</v>
      </c>
      <c r="N351" s="44">
        <f>SUMIF(Index!$K$15:$K$40,'perhitungan individu'!$G351,Index!$L$15:$L$40)*Index!$E$8</f>
        <v>0</v>
      </c>
      <c r="O351" s="44">
        <f>SUMIF(Index!$M$15:$M$40,'perhitungan individu'!H351,Index!$N$15:$N$40)*Index!$E$9</f>
        <v>0</v>
      </c>
      <c r="P351" s="44">
        <f>SUMIF('Kinera Unit Kerja'!$B$4:$B$20,'perhitungan individu'!$G351,'Kinera Unit Kerja'!$G$4:$G$20)*Index!$E$10</f>
        <v>0</v>
      </c>
      <c r="Q351" s="44">
        <f>I351*Index!$E$11</f>
        <v>0</v>
      </c>
      <c r="R351" s="47">
        <f t="shared" si="9"/>
        <v>0</v>
      </c>
      <c r="S351" s="48">
        <f t="shared" si="8"/>
        <v>0</v>
      </c>
    </row>
    <row r="352" spans="1:19">
      <c r="A352" s="42"/>
      <c r="B352" s="33"/>
      <c r="C352" s="33"/>
      <c r="D352" s="43"/>
      <c r="E352" s="33"/>
      <c r="F352" s="33"/>
      <c r="G352" s="33"/>
      <c r="H352" s="33"/>
      <c r="I352" s="33"/>
      <c r="J352" s="44">
        <f>(D352/100000)*Index!$E$4</f>
        <v>0</v>
      </c>
      <c r="K352" s="44">
        <f>SUMIF(Index!$C$15:$C$40,'perhitungan individu'!E352,Index!$D$15:$D$40)*Index!$E$5</f>
        <v>0</v>
      </c>
      <c r="L352" s="44">
        <f>SUMIF(Index!$E$15:$E$40,'perhitungan individu'!F352,Index!F$15:F$40)*Index!$E$6</f>
        <v>0</v>
      </c>
      <c r="M352" s="44">
        <f>SUMIF(Index!$H$15:$H$40,'perhitungan individu'!$G352,Index!$I$15:$I$40)*Index!$E$7</f>
        <v>0</v>
      </c>
      <c r="N352" s="44">
        <f>SUMIF(Index!$K$15:$K$40,'perhitungan individu'!$G352,Index!$L$15:$L$40)*Index!$E$8</f>
        <v>0</v>
      </c>
      <c r="O352" s="44">
        <f>SUMIF(Index!$M$15:$M$40,'perhitungan individu'!H352,Index!$N$15:$N$40)*Index!$E$9</f>
        <v>0</v>
      </c>
      <c r="P352" s="44">
        <f>SUMIF('Kinera Unit Kerja'!$B$4:$B$20,'perhitungan individu'!$G352,'Kinera Unit Kerja'!$G$4:$G$20)*Index!$E$10</f>
        <v>0</v>
      </c>
      <c r="Q352" s="44">
        <f>I352*Index!$E$11</f>
        <v>0</v>
      </c>
      <c r="R352" s="47">
        <f t="shared" si="9"/>
        <v>0</v>
      </c>
      <c r="S352" s="48">
        <f t="shared" ref="S352:S415" si="10">$B$29/$R$29*$R352</f>
        <v>0</v>
      </c>
    </row>
    <row r="353" spans="1:19">
      <c r="A353" s="42"/>
      <c r="B353" s="33"/>
      <c r="C353" s="33"/>
      <c r="D353" s="43"/>
      <c r="E353" s="33"/>
      <c r="F353" s="33"/>
      <c r="G353" s="33"/>
      <c r="H353" s="33"/>
      <c r="I353" s="33"/>
      <c r="J353" s="44">
        <f>(D353/100000)*Index!$E$4</f>
        <v>0</v>
      </c>
      <c r="K353" s="44">
        <f>SUMIF(Index!$C$15:$C$40,'perhitungan individu'!E353,Index!$D$15:$D$40)*Index!$E$5</f>
        <v>0</v>
      </c>
      <c r="L353" s="44">
        <f>SUMIF(Index!$E$15:$E$40,'perhitungan individu'!F353,Index!F$15:F$40)*Index!$E$6</f>
        <v>0</v>
      </c>
      <c r="M353" s="44">
        <f>SUMIF(Index!$H$15:$H$40,'perhitungan individu'!$G353,Index!$I$15:$I$40)*Index!$E$7</f>
        <v>0</v>
      </c>
      <c r="N353" s="44">
        <f>SUMIF(Index!$K$15:$K$40,'perhitungan individu'!$G353,Index!$L$15:$L$40)*Index!$E$8</f>
        <v>0</v>
      </c>
      <c r="O353" s="44">
        <f>SUMIF(Index!$M$15:$M$40,'perhitungan individu'!H353,Index!$N$15:$N$40)*Index!$E$9</f>
        <v>0</v>
      </c>
      <c r="P353" s="44">
        <f>SUMIF('Kinera Unit Kerja'!$B$4:$B$20,'perhitungan individu'!$G353,'Kinera Unit Kerja'!$G$4:$G$20)*Index!$E$10</f>
        <v>0</v>
      </c>
      <c r="Q353" s="44">
        <f>I353*Index!$E$11</f>
        <v>0</v>
      </c>
      <c r="R353" s="47">
        <f t="shared" si="9"/>
        <v>0</v>
      </c>
      <c r="S353" s="48">
        <f t="shared" si="10"/>
        <v>0</v>
      </c>
    </row>
    <row r="354" spans="1:19">
      <c r="A354" s="42"/>
      <c r="B354" s="33"/>
      <c r="C354" s="33"/>
      <c r="D354" s="43"/>
      <c r="E354" s="33"/>
      <c r="F354" s="33"/>
      <c r="G354" s="33"/>
      <c r="H354" s="33"/>
      <c r="I354" s="33"/>
      <c r="J354" s="44">
        <f>(D354/100000)*Index!$E$4</f>
        <v>0</v>
      </c>
      <c r="K354" s="44">
        <f>SUMIF(Index!$C$15:$C$40,'perhitungan individu'!E354,Index!$D$15:$D$40)*Index!$E$5</f>
        <v>0</v>
      </c>
      <c r="L354" s="44">
        <f>SUMIF(Index!$E$15:$E$40,'perhitungan individu'!F354,Index!F$15:F$40)*Index!$E$6</f>
        <v>0</v>
      </c>
      <c r="M354" s="44">
        <f>SUMIF(Index!$H$15:$H$40,'perhitungan individu'!$G354,Index!$I$15:$I$40)*Index!$E$7</f>
        <v>0</v>
      </c>
      <c r="N354" s="44">
        <f>SUMIF(Index!$K$15:$K$40,'perhitungan individu'!$G354,Index!$L$15:$L$40)*Index!$E$8</f>
        <v>0</v>
      </c>
      <c r="O354" s="44">
        <f>SUMIF(Index!$M$15:$M$40,'perhitungan individu'!H354,Index!$N$15:$N$40)*Index!$E$9</f>
        <v>0</v>
      </c>
      <c r="P354" s="44">
        <f>SUMIF('Kinera Unit Kerja'!$B$4:$B$20,'perhitungan individu'!$G354,'Kinera Unit Kerja'!$G$4:$G$20)*Index!$E$10</f>
        <v>0</v>
      </c>
      <c r="Q354" s="44">
        <f>I354*Index!$E$11</f>
        <v>0</v>
      </c>
      <c r="R354" s="47">
        <f t="shared" si="9"/>
        <v>0</v>
      </c>
      <c r="S354" s="48">
        <f t="shared" si="10"/>
        <v>0</v>
      </c>
    </row>
    <row r="355" spans="1:19">
      <c r="A355" s="42"/>
      <c r="B355" s="33"/>
      <c r="C355" s="33"/>
      <c r="D355" s="43"/>
      <c r="E355" s="33"/>
      <c r="F355" s="33"/>
      <c r="G355" s="33"/>
      <c r="H355" s="33"/>
      <c r="I355" s="33"/>
      <c r="J355" s="44">
        <f>(D355/100000)*Index!$E$4</f>
        <v>0</v>
      </c>
      <c r="K355" s="44">
        <f>SUMIF(Index!$C$15:$C$40,'perhitungan individu'!E355,Index!$D$15:$D$40)*Index!$E$5</f>
        <v>0</v>
      </c>
      <c r="L355" s="44">
        <f>SUMIF(Index!$E$15:$E$40,'perhitungan individu'!F355,Index!F$15:F$40)*Index!$E$6</f>
        <v>0</v>
      </c>
      <c r="M355" s="44">
        <f>SUMIF(Index!$H$15:$H$40,'perhitungan individu'!$G355,Index!$I$15:$I$40)*Index!$E$7</f>
        <v>0</v>
      </c>
      <c r="N355" s="44">
        <f>SUMIF(Index!$K$15:$K$40,'perhitungan individu'!$G355,Index!$L$15:$L$40)*Index!$E$8</f>
        <v>0</v>
      </c>
      <c r="O355" s="44">
        <f>SUMIF(Index!$M$15:$M$40,'perhitungan individu'!H355,Index!$N$15:$N$40)*Index!$E$9</f>
        <v>0</v>
      </c>
      <c r="P355" s="44">
        <f>SUMIF('Kinera Unit Kerja'!$B$4:$B$20,'perhitungan individu'!$G355,'Kinera Unit Kerja'!$G$4:$G$20)*Index!$E$10</f>
        <v>0</v>
      </c>
      <c r="Q355" s="44">
        <f>I355*Index!$E$11</f>
        <v>0</v>
      </c>
      <c r="R355" s="47">
        <f t="shared" ref="R355:R418" si="11">SUM(J355:Q355)</f>
        <v>0</v>
      </c>
      <c r="S355" s="48">
        <f t="shared" si="10"/>
        <v>0</v>
      </c>
    </row>
    <row r="356" spans="1:19">
      <c r="A356" s="42"/>
      <c r="B356" s="33"/>
      <c r="C356" s="33"/>
      <c r="D356" s="43"/>
      <c r="E356" s="33"/>
      <c r="F356" s="33"/>
      <c r="G356" s="33"/>
      <c r="H356" s="33"/>
      <c r="I356" s="33"/>
      <c r="J356" s="44">
        <f>(D356/100000)*Index!$E$4</f>
        <v>0</v>
      </c>
      <c r="K356" s="44">
        <f>SUMIF(Index!$C$15:$C$40,'perhitungan individu'!E356,Index!$D$15:$D$40)*Index!$E$5</f>
        <v>0</v>
      </c>
      <c r="L356" s="44">
        <f>SUMIF(Index!$E$15:$E$40,'perhitungan individu'!F356,Index!F$15:F$40)*Index!$E$6</f>
        <v>0</v>
      </c>
      <c r="M356" s="44">
        <f>SUMIF(Index!$H$15:$H$40,'perhitungan individu'!$G356,Index!$I$15:$I$40)*Index!$E$7</f>
        <v>0</v>
      </c>
      <c r="N356" s="44">
        <f>SUMIF(Index!$K$15:$K$40,'perhitungan individu'!$G356,Index!$L$15:$L$40)*Index!$E$8</f>
        <v>0</v>
      </c>
      <c r="O356" s="44">
        <f>SUMIF(Index!$M$15:$M$40,'perhitungan individu'!H356,Index!$N$15:$N$40)*Index!$E$9</f>
        <v>0</v>
      </c>
      <c r="P356" s="44">
        <f>SUMIF('Kinera Unit Kerja'!$B$4:$B$20,'perhitungan individu'!$G356,'Kinera Unit Kerja'!$G$4:$G$20)*Index!$E$10</f>
        <v>0</v>
      </c>
      <c r="Q356" s="44">
        <f>I356*Index!$E$11</f>
        <v>0</v>
      </c>
      <c r="R356" s="47">
        <f t="shared" si="11"/>
        <v>0</v>
      </c>
      <c r="S356" s="48">
        <f t="shared" si="10"/>
        <v>0</v>
      </c>
    </row>
    <row r="357" spans="1:19">
      <c r="A357" s="42"/>
      <c r="B357" s="33"/>
      <c r="C357" s="33"/>
      <c r="D357" s="43"/>
      <c r="E357" s="33"/>
      <c r="F357" s="33"/>
      <c r="G357" s="33"/>
      <c r="H357" s="33"/>
      <c r="I357" s="33"/>
      <c r="J357" s="44">
        <f>(D357/100000)*Index!$E$4</f>
        <v>0</v>
      </c>
      <c r="K357" s="44">
        <f>SUMIF(Index!$C$15:$C$40,'perhitungan individu'!E357,Index!$D$15:$D$40)*Index!$E$5</f>
        <v>0</v>
      </c>
      <c r="L357" s="44">
        <f>SUMIF(Index!$E$15:$E$40,'perhitungan individu'!F357,Index!F$15:F$40)*Index!$E$6</f>
        <v>0</v>
      </c>
      <c r="M357" s="44">
        <f>SUMIF(Index!$H$15:$H$40,'perhitungan individu'!$G357,Index!$I$15:$I$40)*Index!$E$7</f>
        <v>0</v>
      </c>
      <c r="N357" s="44">
        <f>SUMIF(Index!$K$15:$K$40,'perhitungan individu'!$G357,Index!$L$15:$L$40)*Index!$E$8</f>
        <v>0</v>
      </c>
      <c r="O357" s="44">
        <f>SUMIF(Index!$M$15:$M$40,'perhitungan individu'!H357,Index!$N$15:$N$40)*Index!$E$9</f>
        <v>0</v>
      </c>
      <c r="P357" s="44">
        <f>SUMIF('Kinera Unit Kerja'!$B$4:$B$20,'perhitungan individu'!$G357,'Kinera Unit Kerja'!$G$4:$G$20)*Index!$E$10</f>
        <v>0</v>
      </c>
      <c r="Q357" s="44">
        <f>I357*Index!$E$11</f>
        <v>0</v>
      </c>
      <c r="R357" s="47">
        <f t="shared" si="11"/>
        <v>0</v>
      </c>
      <c r="S357" s="48">
        <f t="shared" si="10"/>
        <v>0</v>
      </c>
    </row>
    <row r="358" spans="1:19">
      <c r="A358" s="42"/>
      <c r="B358" s="33"/>
      <c r="C358" s="33"/>
      <c r="D358" s="43"/>
      <c r="E358" s="33"/>
      <c r="F358" s="33"/>
      <c r="G358" s="33"/>
      <c r="H358" s="33"/>
      <c r="I358" s="33"/>
      <c r="J358" s="44">
        <f>(D358/100000)*Index!$E$4</f>
        <v>0</v>
      </c>
      <c r="K358" s="44">
        <f>SUMIF(Index!$C$15:$C$40,'perhitungan individu'!E358,Index!$D$15:$D$40)*Index!$E$5</f>
        <v>0</v>
      </c>
      <c r="L358" s="44">
        <f>SUMIF(Index!$E$15:$E$40,'perhitungan individu'!F358,Index!F$15:F$40)*Index!$E$6</f>
        <v>0</v>
      </c>
      <c r="M358" s="44">
        <f>SUMIF(Index!$H$15:$H$40,'perhitungan individu'!$G358,Index!$I$15:$I$40)*Index!$E$7</f>
        <v>0</v>
      </c>
      <c r="N358" s="44">
        <f>SUMIF(Index!$K$15:$K$40,'perhitungan individu'!$G358,Index!$L$15:$L$40)*Index!$E$8</f>
        <v>0</v>
      </c>
      <c r="O358" s="44">
        <f>SUMIF(Index!$M$15:$M$40,'perhitungan individu'!H358,Index!$N$15:$N$40)*Index!$E$9</f>
        <v>0</v>
      </c>
      <c r="P358" s="44">
        <f>SUMIF('Kinera Unit Kerja'!$B$4:$B$20,'perhitungan individu'!$G358,'Kinera Unit Kerja'!$G$4:$G$20)*Index!$E$10</f>
        <v>0</v>
      </c>
      <c r="Q358" s="44">
        <f>I358*Index!$E$11</f>
        <v>0</v>
      </c>
      <c r="R358" s="47">
        <f t="shared" si="11"/>
        <v>0</v>
      </c>
      <c r="S358" s="48">
        <f t="shared" si="10"/>
        <v>0</v>
      </c>
    </row>
    <row r="359" spans="1:19">
      <c r="A359" s="42"/>
      <c r="B359" s="33"/>
      <c r="C359" s="33"/>
      <c r="D359" s="43"/>
      <c r="E359" s="33"/>
      <c r="F359" s="33"/>
      <c r="G359" s="33"/>
      <c r="H359" s="33"/>
      <c r="I359" s="33"/>
      <c r="J359" s="44">
        <f>(D359/100000)*Index!$E$4</f>
        <v>0</v>
      </c>
      <c r="K359" s="44">
        <f>SUMIF(Index!$C$15:$C$40,'perhitungan individu'!E359,Index!$D$15:$D$40)*Index!$E$5</f>
        <v>0</v>
      </c>
      <c r="L359" s="44">
        <f>SUMIF(Index!$E$15:$E$40,'perhitungan individu'!F359,Index!F$15:F$40)*Index!$E$6</f>
        <v>0</v>
      </c>
      <c r="M359" s="44">
        <f>SUMIF(Index!$H$15:$H$40,'perhitungan individu'!$G359,Index!$I$15:$I$40)*Index!$E$7</f>
        <v>0</v>
      </c>
      <c r="N359" s="44">
        <f>SUMIF(Index!$K$15:$K$40,'perhitungan individu'!$G359,Index!$L$15:$L$40)*Index!$E$8</f>
        <v>0</v>
      </c>
      <c r="O359" s="44">
        <f>SUMIF(Index!$M$15:$M$40,'perhitungan individu'!H359,Index!$N$15:$N$40)*Index!$E$9</f>
        <v>0</v>
      </c>
      <c r="P359" s="44">
        <f>SUMIF('Kinera Unit Kerja'!$B$4:$B$20,'perhitungan individu'!$G359,'Kinera Unit Kerja'!$G$4:$G$20)*Index!$E$10</f>
        <v>0</v>
      </c>
      <c r="Q359" s="44">
        <f>I359*Index!$E$11</f>
        <v>0</v>
      </c>
      <c r="R359" s="47">
        <f t="shared" si="11"/>
        <v>0</v>
      </c>
      <c r="S359" s="48">
        <f t="shared" si="10"/>
        <v>0</v>
      </c>
    </row>
    <row r="360" spans="1:19">
      <c r="A360" s="42"/>
      <c r="B360" s="33"/>
      <c r="C360" s="33"/>
      <c r="D360" s="43"/>
      <c r="E360" s="33"/>
      <c r="F360" s="33"/>
      <c r="G360" s="33"/>
      <c r="H360" s="33"/>
      <c r="I360" s="33"/>
      <c r="J360" s="44">
        <f>(D360/100000)*Index!$E$4</f>
        <v>0</v>
      </c>
      <c r="K360" s="44">
        <f>SUMIF(Index!$C$15:$C$40,'perhitungan individu'!E360,Index!$D$15:$D$40)*Index!$E$5</f>
        <v>0</v>
      </c>
      <c r="L360" s="44">
        <f>SUMIF(Index!$E$15:$E$40,'perhitungan individu'!F360,Index!F$15:F$40)*Index!$E$6</f>
        <v>0</v>
      </c>
      <c r="M360" s="44">
        <f>SUMIF(Index!$H$15:$H$40,'perhitungan individu'!$G360,Index!$I$15:$I$40)*Index!$E$7</f>
        <v>0</v>
      </c>
      <c r="N360" s="44">
        <f>SUMIF(Index!$K$15:$K$40,'perhitungan individu'!$G360,Index!$L$15:$L$40)*Index!$E$8</f>
        <v>0</v>
      </c>
      <c r="O360" s="44">
        <f>SUMIF(Index!$M$15:$M$40,'perhitungan individu'!H360,Index!$N$15:$N$40)*Index!$E$9</f>
        <v>0</v>
      </c>
      <c r="P360" s="44">
        <f>SUMIF('Kinera Unit Kerja'!$B$4:$B$20,'perhitungan individu'!$G360,'Kinera Unit Kerja'!$G$4:$G$20)*Index!$E$10</f>
        <v>0</v>
      </c>
      <c r="Q360" s="44">
        <f>I360*Index!$E$11</f>
        <v>0</v>
      </c>
      <c r="R360" s="47">
        <f t="shared" si="11"/>
        <v>0</v>
      </c>
      <c r="S360" s="48">
        <f t="shared" si="10"/>
        <v>0</v>
      </c>
    </row>
    <row r="361" spans="1:19">
      <c r="A361" s="42"/>
      <c r="B361" s="33"/>
      <c r="C361" s="33"/>
      <c r="D361" s="43"/>
      <c r="E361" s="33"/>
      <c r="F361" s="33"/>
      <c r="G361" s="33"/>
      <c r="H361" s="33"/>
      <c r="I361" s="33"/>
      <c r="J361" s="44">
        <f>(D361/100000)*Index!$E$4</f>
        <v>0</v>
      </c>
      <c r="K361" s="44">
        <f>SUMIF(Index!$C$15:$C$40,'perhitungan individu'!E361,Index!$D$15:$D$40)*Index!$E$5</f>
        <v>0</v>
      </c>
      <c r="L361" s="44">
        <f>SUMIF(Index!$E$15:$E$40,'perhitungan individu'!F361,Index!F$15:F$40)*Index!$E$6</f>
        <v>0</v>
      </c>
      <c r="M361" s="44">
        <f>SUMIF(Index!$H$15:$H$40,'perhitungan individu'!$G361,Index!$I$15:$I$40)*Index!$E$7</f>
        <v>0</v>
      </c>
      <c r="N361" s="44">
        <f>SUMIF(Index!$K$15:$K$40,'perhitungan individu'!$G361,Index!$L$15:$L$40)*Index!$E$8</f>
        <v>0</v>
      </c>
      <c r="O361" s="44">
        <f>SUMIF(Index!$M$15:$M$40,'perhitungan individu'!H361,Index!$N$15:$N$40)*Index!$E$9</f>
        <v>0</v>
      </c>
      <c r="P361" s="44">
        <f>SUMIF('Kinera Unit Kerja'!$B$4:$B$20,'perhitungan individu'!$G361,'Kinera Unit Kerja'!$G$4:$G$20)*Index!$E$10</f>
        <v>0</v>
      </c>
      <c r="Q361" s="44">
        <f>I361*Index!$E$11</f>
        <v>0</v>
      </c>
      <c r="R361" s="47">
        <f t="shared" si="11"/>
        <v>0</v>
      </c>
      <c r="S361" s="48">
        <f t="shared" si="10"/>
        <v>0</v>
      </c>
    </row>
    <row r="362" spans="1:19">
      <c r="A362" s="42"/>
      <c r="B362" s="33"/>
      <c r="C362" s="33"/>
      <c r="D362" s="43"/>
      <c r="E362" s="33"/>
      <c r="F362" s="33"/>
      <c r="G362" s="33"/>
      <c r="H362" s="33"/>
      <c r="I362" s="33"/>
      <c r="J362" s="44">
        <f>(D362/100000)*Index!$E$4</f>
        <v>0</v>
      </c>
      <c r="K362" s="44">
        <f>SUMIF(Index!$C$15:$C$40,'perhitungan individu'!E362,Index!$D$15:$D$40)*Index!$E$5</f>
        <v>0</v>
      </c>
      <c r="L362" s="44">
        <f>SUMIF(Index!$E$15:$E$40,'perhitungan individu'!F362,Index!F$15:F$40)*Index!$E$6</f>
        <v>0</v>
      </c>
      <c r="M362" s="44">
        <f>SUMIF(Index!$H$15:$H$40,'perhitungan individu'!$G362,Index!$I$15:$I$40)*Index!$E$7</f>
        <v>0</v>
      </c>
      <c r="N362" s="44">
        <f>SUMIF(Index!$K$15:$K$40,'perhitungan individu'!$G362,Index!$L$15:$L$40)*Index!$E$8</f>
        <v>0</v>
      </c>
      <c r="O362" s="44">
        <f>SUMIF(Index!$M$15:$M$40,'perhitungan individu'!H362,Index!$N$15:$N$40)*Index!$E$9</f>
        <v>0</v>
      </c>
      <c r="P362" s="44">
        <f>SUMIF('Kinera Unit Kerja'!$B$4:$B$20,'perhitungan individu'!$G362,'Kinera Unit Kerja'!$G$4:$G$20)*Index!$E$10</f>
        <v>0</v>
      </c>
      <c r="Q362" s="44">
        <f>I362*Index!$E$11</f>
        <v>0</v>
      </c>
      <c r="R362" s="47">
        <f t="shared" si="11"/>
        <v>0</v>
      </c>
      <c r="S362" s="48">
        <f t="shared" si="10"/>
        <v>0</v>
      </c>
    </row>
    <row r="363" spans="1:19">
      <c r="A363" s="42"/>
      <c r="B363" s="33"/>
      <c r="C363" s="33"/>
      <c r="D363" s="43"/>
      <c r="E363" s="33"/>
      <c r="F363" s="33"/>
      <c r="G363" s="33"/>
      <c r="H363" s="33"/>
      <c r="I363" s="33"/>
      <c r="J363" s="44">
        <f>(D363/100000)*Index!$E$4</f>
        <v>0</v>
      </c>
      <c r="K363" s="44">
        <f>SUMIF(Index!$C$15:$C$40,'perhitungan individu'!E363,Index!$D$15:$D$40)*Index!$E$5</f>
        <v>0</v>
      </c>
      <c r="L363" s="44">
        <f>SUMIF(Index!$E$15:$E$40,'perhitungan individu'!F363,Index!F$15:F$40)*Index!$E$6</f>
        <v>0</v>
      </c>
      <c r="M363" s="44">
        <f>SUMIF(Index!$H$15:$H$40,'perhitungan individu'!$G363,Index!$I$15:$I$40)*Index!$E$7</f>
        <v>0</v>
      </c>
      <c r="N363" s="44">
        <f>SUMIF(Index!$K$15:$K$40,'perhitungan individu'!$G363,Index!$L$15:$L$40)*Index!$E$8</f>
        <v>0</v>
      </c>
      <c r="O363" s="44">
        <f>SUMIF(Index!$M$15:$M$40,'perhitungan individu'!H363,Index!$N$15:$N$40)*Index!$E$9</f>
        <v>0</v>
      </c>
      <c r="P363" s="44">
        <f>SUMIF('Kinera Unit Kerja'!$B$4:$B$20,'perhitungan individu'!$G363,'Kinera Unit Kerja'!$G$4:$G$20)*Index!$E$10</f>
        <v>0</v>
      </c>
      <c r="Q363" s="44">
        <f>I363*Index!$E$11</f>
        <v>0</v>
      </c>
      <c r="R363" s="47">
        <f t="shared" si="11"/>
        <v>0</v>
      </c>
      <c r="S363" s="48">
        <f t="shared" si="10"/>
        <v>0</v>
      </c>
    </row>
    <row r="364" spans="1:19">
      <c r="A364" s="42"/>
      <c r="B364" s="33"/>
      <c r="C364" s="33"/>
      <c r="D364" s="43"/>
      <c r="E364" s="33"/>
      <c r="F364" s="33"/>
      <c r="G364" s="33"/>
      <c r="H364" s="33"/>
      <c r="I364" s="33"/>
      <c r="J364" s="44">
        <f>(D364/100000)*Index!$E$4</f>
        <v>0</v>
      </c>
      <c r="K364" s="44">
        <f>SUMIF(Index!$C$15:$C$40,'perhitungan individu'!E364,Index!$D$15:$D$40)*Index!$E$5</f>
        <v>0</v>
      </c>
      <c r="L364" s="44">
        <f>SUMIF(Index!$E$15:$E$40,'perhitungan individu'!F364,Index!F$15:F$40)*Index!$E$6</f>
        <v>0</v>
      </c>
      <c r="M364" s="44">
        <f>SUMIF(Index!$H$15:$H$40,'perhitungan individu'!$G364,Index!$I$15:$I$40)*Index!$E$7</f>
        <v>0</v>
      </c>
      <c r="N364" s="44">
        <f>SUMIF(Index!$K$15:$K$40,'perhitungan individu'!$G364,Index!$L$15:$L$40)*Index!$E$8</f>
        <v>0</v>
      </c>
      <c r="O364" s="44">
        <f>SUMIF(Index!$M$15:$M$40,'perhitungan individu'!H364,Index!$N$15:$N$40)*Index!$E$9</f>
        <v>0</v>
      </c>
      <c r="P364" s="44">
        <f>SUMIF('Kinera Unit Kerja'!$B$4:$B$20,'perhitungan individu'!$G364,'Kinera Unit Kerja'!$G$4:$G$20)*Index!$E$10</f>
        <v>0</v>
      </c>
      <c r="Q364" s="44">
        <f>I364*Index!$E$11</f>
        <v>0</v>
      </c>
      <c r="R364" s="47">
        <f t="shared" si="11"/>
        <v>0</v>
      </c>
      <c r="S364" s="48">
        <f t="shared" si="10"/>
        <v>0</v>
      </c>
    </row>
    <row r="365" spans="1:19">
      <c r="A365" s="42"/>
      <c r="B365" s="33"/>
      <c r="C365" s="33"/>
      <c r="D365" s="43"/>
      <c r="E365" s="33"/>
      <c r="F365" s="33"/>
      <c r="G365" s="33"/>
      <c r="H365" s="33"/>
      <c r="I365" s="33"/>
      <c r="J365" s="44">
        <f>(D365/100000)*Index!$E$4</f>
        <v>0</v>
      </c>
      <c r="K365" s="44">
        <f>SUMIF(Index!$C$15:$C$40,'perhitungan individu'!E365,Index!$D$15:$D$40)*Index!$E$5</f>
        <v>0</v>
      </c>
      <c r="L365" s="44">
        <f>SUMIF(Index!$E$15:$E$40,'perhitungan individu'!F365,Index!F$15:F$40)*Index!$E$6</f>
        <v>0</v>
      </c>
      <c r="M365" s="44">
        <f>SUMIF(Index!$H$15:$H$40,'perhitungan individu'!$G365,Index!$I$15:$I$40)*Index!$E$7</f>
        <v>0</v>
      </c>
      <c r="N365" s="44">
        <f>SUMIF(Index!$K$15:$K$40,'perhitungan individu'!$G365,Index!$L$15:$L$40)*Index!$E$8</f>
        <v>0</v>
      </c>
      <c r="O365" s="44">
        <f>SUMIF(Index!$M$15:$M$40,'perhitungan individu'!H365,Index!$N$15:$N$40)*Index!$E$9</f>
        <v>0</v>
      </c>
      <c r="P365" s="44">
        <f>SUMIF('Kinera Unit Kerja'!$B$4:$B$20,'perhitungan individu'!$G365,'Kinera Unit Kerja'!$G$4:$G$20)*Index!$E$10</f>
        <v>0</v>
      </c>
      <c r="Q365" s="44">
        <f>I365*Index!$E$11</f>
        <v>0</v>
      </c>
      <c r="R365" s="47">
        <f t="shared" si="11"/>
        <v>0</v>
      </c>
      <c r="S365" s="48">
        <f t="shared" si="10"/>
        <v>0</v>
      </c>
    </row>
    <row r="366" spans="1:19">
      <c r="A366" s="42"/>
      <c r="B366" s="33"/>
      <c r="C366" s="33"/>
      <c r="D366" s="43"/>
      <c r="E366" s="33"/>
      <c r="F366" s="33"/>
      <c r="G366" s="33"/>
      <c r="H366" s="33"/>
      <c r="I366" s="33"/>
      <c r="J366" s="44">
        <f>(D366/100000)*Index!$E$4</f>
        <v>0</v>
      </c>
      <c r="K366" s="44">
        <f>SUMIF(Index!$C$15:$C$40,'perhitungan individu'!E366,Index!$D$15:$D$40)*Index!$E$5</f>
        <v>0</v>
      </c>
      <c r="L366" s="44">
        <f>SUMIF(Index!$E$15:$E$40,'perhitungan individu'!F366,Index!F$15:F$40)*Index!$E$6</f>
        <v>0</v>
      </c>
      <c r="M366" s="44">
        <f>SUMIF(Index!$H$15:$H$40,'perhitungan individu'!$G366,Index!$I$15:$I$40)*Index!$E$7</f>
        <v>0</v>
      </c>
      <c r="N366" s="44">
        <f>SUMIF(Index!$K$15:$K$40,'perhitungan individu'!$G366,Index!$L$15:$L$40)*Index!$E$8</f>
        <v>0</v>
      </c>
      <c r="O366" s="44">
        <f>SUMIF(Index!$M$15:$M$40,'perhitungan individu'!H366,Index!$N$15:$N$40)*Index!$E$9</f>
        <v>0</v>
      </c>
      <c r="P366" s="44">
        <f>SUMIF('Kinera Unit Kerja'!$B$4:$B$20,'perhitungan individu'!$G366,'Kinera Unit Kerja'!$G$4:$G$20)*Index!$E$10</f>
        <v>0</v>
      </c>
      <c r="Q366" s="44">
        <f>I366*Index!$E$11</f>
        <v>0</v>
      </c>
      <c r="R366" s="47">
        <f t="shared" si="11"/>
        <v>0</v>
      </c>
      <c r="S366" s="48">
        <f t="shared" si="10"/>
        <v>0</v>
      </c>
    </row>
    <row r="367" spans="1:19">
      <c r="A367" s="42"/>
      <c r="B367" s="33"/>
      <c r="C367" s="33"/>
      <c r="D367" s="43"/>
      <c r="E367" s="33"/>
      <c r="F367" s="33"/>
      <c r="G367" s="33"/>
      <c r="H367" s="33"/>
      <c r="I367" s="33"/>
      <c r="J367" s="44">
        <f>(D367/100000)*Index!$E$4</f>
        <v>0</v>
      </c>
      <c r="K367" s="44">
        <f>SUMIF(Index!$C$15:$C$40,'perhitungan individu'!E367,Index!$D$15:$D$40)*Index!$E$5</f>
        <v>0</v>
      </c>
      <c r="L367" s="44">
        <f>SUMIF(Index!$E$15:$E$40,'perhitungan individu'!F367,Index!F$15:F$40)*Index!$E$6</f>
        <v>0</v>
      </c>
      <c r="M367" s="44">
        <f>SUMIF(Index!$H$15:$H$40,'perhitungan individu'!$G367,Index!$I$15:$I$40)*Index!$E$7</f>
        <v>0</v>
      </c>
      <c r="N367" s="44">
        <f>SUMIF(Index!$K$15:$K$40,'perhitungan individu'!$G367,Index!$L$15:$L$40)*Index!$E$8</f>
        <v>0</v>
      </c>
      <c r="O367" s="44">
        <f>SUMIF(Index!$M$15:$M$40,'perhitungan individu'!H367,Index!$N$15:$N$40)*Index!$E$9</f>
        <v>0</v>
      </c>
      <c r="P367" s="44">
        <f>SUMIF('Kinera Unit Kerja'!$B$4:$B$20,'perhitungan individu'!$G367,'Kinera Unit Kerja'!$G$4:$G$20)*Index!$E$10</f>
        <v>0</v>
      </c>
      <c r="Q367" s="44">
        <f>I367*Index!$E$11</f>
        <v>0</v>
      </c>
      <c r="R367" s="47">
        <f t="shared" si="11"/>
        <v>0</v>
      </c>
      <c r="S367" s="48">
        <f t="shared" si="10"/>
        <v>0</v>
      </c>
    </row>
    <row r="368" spans="1:19">
      <c r="A368" s="42"/>
      <c r="B368" s="33"/>
      <c r="C368" s="33"/>
      <c r="D368" s="43"/>
      <c r="E368" s="33"/>
      <c r="F368" s="33"/>
      <c r="G368" s="33"/>
      <c r="H368" s="33"/>
      <c r="I368" s="33"/>
      <c r="J368" s="44">
        <f>(D368/100000)*Index!$E$4</f>
        <v>0</v>
      </c>
      <c r="K368" s="44">
        <f>SUMIF(Index!$C$15:$C$40,'perhitungan individu'!E368,Index!$D$15:$D$40)*Index!$E$5</f>
        <v>0</v>
      </c>
      <c r="L368" s="44">
        <f>SUMIF(Index!$E$15:$E$40,'perhitungan individu'!F368,Index!F$15:F$40)*Index!$E$6</f>
        <v>0</v>
      </c>
      <c r="M368" s="44">
        <f>SUMIF(Index!$H$15:$H$40,'perhitungan individu'!$G368,Index!$I$15:$I$40)*Index!$E$7</f>
        <v>0</v>
      </c>
      <c r="N368" s="44">
        <f>SUMIF(Index!$K$15:$K$40,'perhitungan individu'!$G368,Index!$L$15:$L$40)*Index!$E$8</f>
        <v>0</v>
      </c>
      <c r="O368" s="44">
        <f>SUMIF(Index!$M$15:$M$40,'perhitungan individu'!H368,Index!$N$15:$N$40)*Index!$E$9</f>
        <v>0</v>
      </c>
      <c r="P368" s="44">
        <f>SUMIF('Kinera Unit Kerja'!$B$4:$B$20,'perhitungan individu'!$G368,'Kinera Unit Kerja'!$G$4:$G$20)*Index!$E$10</f>
        <v>0</v>
      </c>
      <c r="Q368" s="44">
        <f>I368*Index!$E$11</f>
        <v>0</v>
      </c>
      <c r="R368" s="47">
        <f t="shared" si="11"/>
        <v>0</v>
      </c>
      <c r="S368" s="48">
        <f t="shared" si="10"/>
        <v>0</v>
      </c>
    </row>
    <row r="369" spans="1:19">
      <c r="A369" s="42"/>
      <c r="B369" s="33"/>
      <c r="C369" s="33"/>
      <c r="D369" s="43"/>
      <c r="E369" s="33"/>
      <c r="F369" s="33"/>
      <c r="G369" s="33"/>
      <c r="H369" s="33"/>
      <c r="I369" s="33"/>
      <c r="J369" s="44">
        <f>(D369/100000)*Index!$E$4</f>
        <v>0</v>
      </c>
      <c r="K369" s="44">
        <f>SUMIF(Index!$C$15:$C$40,'perhitungan individu'!E369,Index!$D$15:$D$40)*Index!$E$5</f>
        <v>0</v>
      </c>
      <c r="L369" s="44">
        <f>SUMIF(Index!$E$15:$E$40,'perhitungan individu'!F369,Index!F$15:F$40)*Index!$E$6</f>
        <v>0</v>
      </c>
      <c r="M369" s="44">
        <f>SUMIF(Index!$H$15:$H$40,'perhitungan individu'!$G369,Index!$I$15:$I$40)*Index!$E$7</f>
        <v>0</v>
      </c>
      <c r="N369" s="44">
        <f>SUMIF(Index!$K$15:$K$40,'perhitungan individu'!$G369,Index!$L$15:$L$40)*Index!$E$8</f>
        <v>0</v>
      </c>
      <c r="O369" s="44">
        <f>SUMIF(Index!$M$15:$M$40,'perhitungan individu'!H369,Index!$N$15:$N$40)*Index!$E$9</f>
        <v>0</v>
      </c>
      <c r="P369" s="44">
        <f>SUMIF('Kinera Unit Kerja'!$B$4:$B$20,'perhitungan individu'!$G369,'Kinera Unit Kerja'!$G$4:$G$20)*Index!$E$10</f>
        <v>0</v>
      </c>
      <c r="Q369" s="44">
        <f>I369*Index!$E$11</f>
        <v>0</v>
      </c>
      <c r="R369" s="47">
        <f t="shared" si="11"/>
        <v>0</v>
      </c>
      <c r="S369" s="48">
        <f t="shared" si="10"/>
        <v>0</v>
      </c>
    </row>
    <row r="370" spans="1:19">
      <c r="A370" s="42"/>
      <c r="B370" s="33"/>
      <c r="C370" s="33"/>
      <c r="D370" s="43"/>
      <c r="E370" s="33"/>
      <c r="F370" s="33"/>
      <c r="G370" s="33"/>
      <c r="H370" s="33"/>
      <c r="I370" s="33"/>
      <c r="J370" s="44">
        <f>(D370/100000)*Index!$E$4</f>
        <v>0</v>
      </c>
      <c r="K370" s="44">
        <f>SUMIF(Index!$C$15:$C$40,'perhitungan individu'!E370,Index!$D$15:$D$40)*Index!$E$5</f>
        <v>0</v>
      </c>
      <c r="L370" s="44">
        <f>SUMIF(Index!$E$15:$E$40,'perhitungan individu'!F370,Index!F$15:F$40)*Index!$E$6</f>
        <v>0</v>
      </c>
      <c r="M370" s="44">
        <f>SUMIF(Index!$H$15:$H$40,'perhitungan individu'!$G370,Index!$I$15:$I$40)*Index!$E$7</f>
        <v>0</v>
      </c>
      <c r="N370" s="44">
        <f>SUMIF(Index!$K$15:$K$40,'perhitungan individu'!$G370,Index!$L$15:$L$40)*Index!$E$8</f>
        <v>0</v>
      </c>
      <c r="O370" s="44">
        <f>SUMIF(Index!$M$15:$M$40,'perhitungan individu'!H370,Index!$N$15:$N$40)*Index!$E$9</f>
        <v>0</v>
      </c>
      <c r="P370" s="44">
        <f>SUMIF('Kinera Unit Kerja'!$B$4:$B$20,'perhitungan individu'!$G370,'Kinera Unit Kerja'!$G$4:$G$20)*Index!$E$10</f>
        <v>0</v>
      </c>
      <c r="Q370" s="44">
        <f>I370*Index!$E$11</f>
        <v>0</v>
      </c>
      <c r="R370" s="47">
        <f t="shared" si="11"/>
        <v>0</v>
      </c>
      <c r="S370" s="48">
        <f t="shared" si="10"/>
        <v>0</v>
      </c>
    </row>
    <row r="371" spans="1:19">
      <c r="A371" s="42"/>
      <c r="B371" s="33"/>
      <c r="C371" s="33"/>
      <c r="D371" s="43"/>
      <c r="E371" s="33"/>
      <c r="F371" s="33"/>
      <c r="G371" s="33"/>
      <c r="H371" s="33"/>
      <c r="I371" s="33"/>
      <c r="J371" s="44">
        <f>(D371/100000)*Index!$E$4</f>
        <v>0</v>
      </c>
      <c r="K371" s="44">
        <f>SUMIF(Index!$C$15:$C$40,'perhitungan individu'!E371,Index!$D$15:$D$40)*Index!$E$5</f>
        <v>0</v>
      </c>
      <c r="L371" s="44">
        <f>SUMIF(Index!$E$15:$E$40,'perhitungan individu'!F371,Index!F$15:F$40)*Index!$E$6</f>
        <v>0</v>
      </c>
      <c r="M371" s="44">
        <f>SUMIF(Index!$H$15:$H$40,'perhitungan individu'!$G371,Index!$I$15:$I$40)*Index!$E$7</f>
        <v>0</v>
      </c>
      <c r="N371" s="44">
        <f>SUMIF(Index!$K$15:$K$40,'perhitungan individu'!$G371,Index!$L$15:$L$40)*Index!$E$8</f>
        <v>0</v>
      </c>
      <c r="O371" s="44">
        <f>SUMIF(Index!$M$15:$M$40,'perhitungan individu'!H371,Index!$N$15:$N$40)*Index!$E$9</f>
        <v>0</v>
      </c>
      <c r="P371" s="44">
        <f>SUMIF('Kinera Unit Kerja'!$B$4:$B$20,'perhitungan individu'!$G371,'Kinera Unit Kerja'!$G$4:$G$20)*Index!$E$10</f>
        <v>0</v>
      </c>
      <c r="Q371" s="44">
        <f>I371*Index!$E$11</f>
        <v>0</v>
      </c>
      <c r="R371" s="47">
        <f t="shared" si="11"/>
        <v>0</v>
      </c>
      <c r="S371" s="48">
        <f t="shared" si="10"/>
        <v>0</v>
      </c>
    </row>
    <row r="372" spans="1:19">
      <c r="A372" s="42"/>
      <c r="B372" s="33"/>
      <c r="C372" s="33"/>
      <c r="D372" s="43"/>
      <c r="E372" s="33"/>
      <c r="F372" s="33"/>
      <c r="G372" s="33"/>
      <c r="H372" s="33"/>
      <c r="I372" s="33"/>
      <c r="J372" s="44">
        <f>(D372/100000)*Index!$E$4</f>
        <v>0</v>
      </c>
      <c r="K372" s="44">
        <f>SUMIF(Index!$C$15:$C$40,'perhitungan individu'!E372,Index!$D$15:$D$40)*Index!$E$5</f>
        <v>0</v>
      </c>
      <c r="L372" s="44">
        <f>SUMIF(Index!$E$15:$E$40,'perhitungan individu'!F372,Index!F$15:F$40)*Index!$E$6</f>
        <v>0</v>
      </c>
      <c r="M372" s="44">
        <f>SUMIF(Index!$H$15:$H$40,'perhitungan individu'!$G372,Index!$I$15:$I$40)*Index!$E$7</f>
        <v>0</v>
      </c>
      <c r="N372" s="44">
        <f>SUMIF(Index!$K$15:$K$40,'perhitungan individu'!$G372,Index!$L$15:$L$40)*Index!$E$8</f>
        <v>0</v>
      </c>
      <c r="O372" s="44">
        <f>SUMIF(Index!$M$15:$M$40,'perhitungan individu'!H372,Index!$N$15:$N$40)*Index!$E$9</f>
        <v>0</v>
      </c>
      <c r="P372" s="44">
        <f>SUMIF('Kinera Unit Kerja'!$B$4:$B$20,'perhitungan individu'!$G372,'Kinera Unit Kerja'!$G$4:$G$20)*Index!$E$10</f>
        <v>0</v>
      </c>
      <c r="Q372" s="44">
        <f>I372*Index!$E$11</f>
        <v>0</v>
      </c>
      <c r="R372" s="47">
        <f t="shared" si="11"/>
        <v>0</v>
      </c>
      <c r="S372" s="48">
        <f t="shared" si="10"/>
        <v>0</v>
      </c>
    </row>
    <row r="373" spans="1:19">
      <c r="A373" s="42"/>
      <c r="B373" s="33"/>
      <c r="C373" s="33"/>
      <c r="D373" s="43"/>
      <c r="E373" s="33"/>
      <c r="F373" s="33"/>
      <c r="G373" s="33"/>
      <c r="H373" s="33"/>
      <c r="I373" s="33"/>
      <c r="J373" s="44">
        <f>(D373/100000)*Index!$E$4</f>
        <v>0</v>
      </c>
      <c r="K373" s="44">
        <f>SUMIF(Index!$C$15:$C$40,'perhitungan individu'!E373,Index!$D$15:$D$40)*Index!$E$5</f>
        <v>0</v>
      </c>
      <c r="L373" s="44">
        <f>SUMIF(Index!$E$15:$E$40,'perhitungan individu'!F373,Index!F$15:F$40)*Index!$E$6</f>
        <v>0</v>
      </c>
      <c r="M373" s="44">
        <f>SUMIF(Index!$H$15:$H$40,'perhitungan individu'!$G373,Index!$I$15:$I$40)*Index!$E$7</f>
        <v>0</v>
      </c>
      <c r="N373" s="44">
        <f>SUMIF(Index!$K$15:$K$40,'perhitungan individu'!$G373,Index!$L$15:$L$40)*Index!$E$8</f>
        <v>0</v>
      </c>
      <c r="O373" s="44">
        <f>SUMIF(Index!$M$15:$M$40,'perhitungan individu'!H373,Index!$N$15:$N$40)*Index!$E$9</f>
        <v>0</v>
      </c>
      <c r="P373" s="44">
        <f>SUMIF('Kinera Unit Kerja'!$B$4:$B$20,'perhitungan individu'!$G373,'Kinera Unit Kerja'!$G$4:$G$20)*Index!$E$10</f>
        <v>0</v>
      </c>
      <c r="Q373" s="44">
        <f>I373*Index!$E$11</f>
        <v>0</v>
      </c>
      <c r="R373" s="47">
        <f t="shared" si="11"/>
        <v>0</v>
      </c>
      <c r="S373" s="48">
        <f t="shared" si="10"/>
        <v>0</v>
      </c>
    </row>
    <row r="374" spans="1:19">
      <c r="A374" s="42"/>
      <c r="B374" s="33"/>
      <c r="C374" s="33"/>
      <c r="D374" s="43"/>
      <c r="E374" s="33"/>
      <c r="F374" s="33"/>
      <c r="G374" s="33"/>
      <c r="H374" s="33"/>
      <c r="I374" s="33"/>
      <c r="J374" s="44">
        <f>(D374/100000)*Index!$E$4</f>
        <v>0</v>
      </c>
      <c r="K374" s="44">
        <f>SUMIF(Index!$C$15:$C$40,'perhitungan individu'!E374,Index!$D$15:$D$40)*Index!$E$5</f>
        <v>0</v>
      </c>
      <c r="L374" s="44">
        <f>SUMIF(Index!$E$15:$E$40,'perhitungan individu'!F374,Index!F$15:F$40)*Index!$E$6</f>
        <v>0</v>
      </c>
      <c r="M374" s="44">
        <f>SUMIF(Index!$H$15:$H$40,'perhitungan individu'!$G374,Index!$I$15:$I$40)*Index!$E$7</f>
        <v>0</v>
      </c>
      <c r="N374" s="44">
        <f>SUMIF(Index!$K$15:$K$40,'perhitungan individu'!$G374,Index!$L$15:$L$40)*Index!$E$8</f>
        <v>0</v>
      </c>
      <c r="O374" s="44">
        <f>SUMIF(Index!$M$15:$M$40,'perhitungan individu'!H374,Index!$N$15:$N$40)*Index!$E$9</f>
        <v>0</v>
      </c>
      <c r="P374" s="44">
        <f>SUMIF('Kinera Unit Kerja'!$B$4:$B$20,'perhitungan individu'!$G374,'Kinera Unit Kerja'!$G$4:$G$20)*Index!$E$10</f>
        <v>0</v>
      </c>
      <c r="Q374" s="44">
        <f>I374*Index!$E$11</f>
        <v>0</v>
      </c>
      <c r="R374" s="47">
        <f t="shared" si="11"/>
        <v>0</v>
      </c>
      <c r="S374" s="48">
        <f t="shared" si="10"/>
        <v>0</v>
      </c>
    </row>
    <row r="375" spans="1:19">
      <c r="A375" s="42"/>
      <c r="B375" s="33"/>
      <c r="C375" s="33"/>
      <c r="D375" s="43"/>
      <c r="E375" s="33"/>
      <c r="F375" s="33"/>
      <c r="G375" s="33"/>
      <c r="H375" s="33"/>
      <c r="I375" s="33"/>
      <c r="J375" s="44">
        <f>(D375/100000)*Index!$E$4</f>
        <v>0</v>
      </c>
      <c r="K375" s="44">
        <f>SUMIF(Index!$C$15:$C$40,'perhitungan individu'!E375,Index!$D$15:$D$40)*Index!$E$5</f>
        <v>0</v>
      </c>
      <c r="L375" s="44">
        <f>SUMIF(Index!$E$15:$E$40,'perhitungan individu'!F375,Index!F$15:F$40)*Index!$E$6</f>
        <v>0</v>
      </c>
      <c r="M375" s="44">
        <f>SUMIF(Index!$H$15:$H$40,'perhitungan individu'!$G375,Index!$I$15:$I$40)*Index!$E$7</f>
        <v>0</v>
      </c>
      <c r="N375" s="44">
        <f>SUMIF(Index!$K$15:$K$40,'perhitungan individu'!$G375,Index!$L$15:$L$40)*Index!$E$8</f>
        <v>0</v>
      </c>
      <c r="O375" s="44">
        <f>SUMIF(Index!$M$15:$M$40,'perhitungan individu'!H375,Index!$N$15:$N$40)*Index!$E$9</f>
        <v>0</v>
      </c>
      <c r="P375" s="44">
        <f>SUMIF('Kinera Unit Kerja'!$B$4:$B$20,'perhitungan individu'!$G375,'Kinera Unit Kerja'!$G$4:$G$20)*Index!$E$10</f>
        <v>0</v>
      </c>
      <c r="Q375" s="44">
        <f>I375*Index!$E$11</f>
        <v>0</v>
      </c>
      <c r="R375" s="47">
        <f t="shared" si="11"/>
        <v>0</v>
      </c>
      <c r="S375" s="48">
        <f t="shared" si="10"/>
        <v>0</v>
      </c>
    </row>
    <row r="376" spans="1:19">
      <c r="A376" s="42"/>
      <c r="B376" s="33"/>
      <c r="C376" s="33"/>
      <c r="D376" s="43"/>
      <c r="E376" s="33"/>
      <c r="F376" s="33"/>
      <c r="G376" s="33"/>
      <c r="H376" s="33"/>
      <c r="I376" s="33"/>
      <c r="J376" s="44">
        <f>(D376/100000)*Index!$E$4</f>
        <v>0</v>
      </c>
      <c r="K376" s="44">
        <f>SUMIF(Index!$C$15:$C$40,'perhitungan individu'!E376,Index!$D$15:$D$40)*Index!$E$5</f>
        <v>0</v>
      </c>
      <c r="L376" s="44">
        <f>SUMIF(Index!$E$15:$E$40,'perhitungan individu'!F376,Index!F$15:F$40)*Index!$E$6</f>
        <v>0</v>
      </c>
      <c r="M376" s="44">
        <f>SUMIF(Index!$H$15:$H$40,'perhitungan individu'!$G376,Index!$I$15:$I$40)*Index!$E$7</f>
        <v>0</v>
      </c>
      <c r="N376" s="44">
        <f>SUMIF(Index!$K$15:$K$40,'perhitungan individu'!$G376,Index!$L$15:$L$40)*Index!$E$8</f>
        <v>0</v>
      </c>
      <c r="O376" s="44">
        <f>SUMIF(Index!$M$15:$M$40,'perhitungan individu'!H376,Index!$N$15:$N$40)*Index!$E$9</f>
        <v>0</v>
      </c>
      <c r="P376" s="44">
        <f>SUMIF('Kinera Unit Kerja'!$B$4:$B$20,'perhitungan individu'!$G376,'Kinera Unit Kerja'!$G$4:$G$20)*Index!$E$10</f>
        <v>0</v>
      </c>
      <c r="Q376" s="44">
        <f>I376*Index!$E$11</f>
        <v>0</v>
      </c>
      <c r="R376" s="47">
        <f t="shared" si="11"/>
        <v>0</v>
      </c>
      <c r="S376" s="48">
        <f t="shared" si="10"/>
        <v>0</v>
      </c>
    </row>
    <row r="377" spans="1:19">
      <c r="A377" s="42"/>
      <c r="B377" s="33"/>
      <c r="C377" s="33"/>
      <c r="D377" s="43"/>
      <c r="E377" s="33"/>
      <c r="F377" s="33"/>
      <c r="G377" s="33"/>
      <c r="H377" s="33"/>
      <c r="I377" s="33"/>
      <c r="J377" s="44">
        <f>(D377/100000)*Index!$E$4</f>
        <v>0</v>
      </c>
      <c r="K377" s="44">
        <f>SUMIF(Index!$C$15:$C$40,'perhitungan individu'!E377,Index!$D$15:$D$40)*Index!$E$5</f>
        <v>0</v>
      </c>
      <c r="L377" s="44">
        <f>SUMIF(Index!$E$15:$E$40,'perhitungan individu'!F377,Index!F$15:F$40)*Index!$E$6</f>
        <v>0</v>
      </c>
      <c r="M377" s="44">
        <f>SUMIF(Index!$H$15:$H$40,'perhitungan individu'!$G377,Index!$I$15:$I$40)*Index!$E$7</f>
        <v>0</v>
      </c>
      <c r="N377" s="44">
        <f>SUMIF(Index!$K$15:$K$40,'perhitungan individu'!$G377,Index!$L$15:$L$40)*Index!$E$8</f>
        <v>0</v>
      </c>
      <c r="O377" s="44">
        <f>SUMIF(Index!$M$15:$M$40,'perhitungan individu'!H377,Index!$N$15:$N$40)*Index!$E$9</f>
        <v>0</v>
      </c>
      <c r="P377" s="44">
        <f>SUMIF('Kinera Unit Kerja'!$B$4:$B$20,'perhitungan individu'!$G377,'Kinera Unit Kerja'!$G$4:$G$20)*Index!$E$10</f>
        <v>0</v>
      </c>
      <c r="Q377" s="44">
        <f>I377*Index!$E$11</f>
        <v>0</v>
      </c>
      <c r="R377" s="47">
        <f t="shared" si="11"/>
        <v>0</v>
      </c>
      <c r="S377" s="48">
        <f t="shared" si="10"/>
        <v>0</v>
      </c>
    </row>
    <row r="378" spans="1:19">
      <c r="A378" s="42"/>
      <c r="B378" s="33"/>
      <c r="C378" s="33"/>
      <c r="D378" s="43"/>
      <c r="E378" s="33"/>
      <c r="F378" s="33"/>
      <c r="G378" s="33"/>
      <c r="H378" s="33"/>
      <c r="I378" s="33"/>
      <c r="J378" s="44">
        <f>(D378/100000)*Index!$E$4</f>
        <v>0</v>
      </c>
      <c r="K378" s="44">
        <f>SUMIF(Index!$C$15:$C$40,'perhitungan individu'!E378,Index!$D$15:$D$40)*Index!$E$5</f>
        <v>0</v>
      </c>
      <c r="L378" s="44">
        <f>SUMIF(Index!$E$15:$E$40,'perhitungan individu'!F378,Index!F$15:F$40)*Index!$E$6</f>
        <v>0</v>
      </c>
      <c r="M378" s="44">
        <f>SUMIF(Index!$H$15:$H$40,'perhitungan individu'!$G378,Index!$I$15:$I$40)*Index!$E$7</f>
        <v>0</v>
      </c>
      <c r="N378" s="44">
        <f>SUMIF(Index!$K$15:$K$40,'perhitungan individu'!$G378,Index!$L$15:$L$40)*Index!$E$8</f>
        <v>0</v>
      </c>
      <c r="O378" s="44">
        <f>SUMIF(Index!$M$15:$M$40,'perhitungan individu'!H378,Index!$N$15:$N$40)*Index!$E$9</f>
        <v>0</v>
      </c>
      <c r="P378" s="44">
        <f>SUMIF('Kinera Unit Kerja'!$B$4:$B$20,'perhitungan individu'!$G378,'Kinera Unit Kerja'!$G$4:$G$20)*Index!$E$10</f>
        <v>0</v>
      </c>
      <c r="Q378" s="44">
        <f>I378*Index!$E$11</f>
        <v>0</v>
      </c>
      <c r="R378" s="47">
        <f t="shared" si="11"/>
        <v>0</v>
      </c>
      <c r="S378" s="48">
        <f t="shared" si="10"/>
        <v>0</v>
      </c>
    </row>
    <row r="379" spans="1:19">
      <c r="A379" s="42"/>
      <c r="B379" s="33"/>
      <c r="C379" s="33"/>
      <c r="D379" s="43"/>
      <c r="E379" s="33"/>
      <c r="F379" s="33"/>
      <c r="G379" s="33"/>
      <c r="H379" s="33"/>
      <c r="I379" s="33"/>
      <c r="J379" s="44">
        <f>(D379/100000)*Index!$E$4</f>
        <v>0</v>
      </c>
      <c r="K379" s="44">
        <f>SUMIF(Index!$C$15:$C$40,'perhitungan individu'!E379,Index!$D$15:$D$40)*Index!$E$5</f>
        <v>0</v>
      </c>
      <c r="L379" s="44">
        <f>SUMIF(Index!$E$15:$E$40,'perhitungan individu'!F379,Index!F$15:F$40)*Index!$E$6</f>
        <v>0</v>
      </c>
      <c r="M379" s="44">
        <f>SUMIF(Index!$H$15:$H$40,'perhitungan individu'!$G379,Index!$I$15:$I$40)*Index!$E$7</f>
        <v>0</v>
      </c>
      <c r="N379" s="44">
        <f>SUMIF(Index!$K$15:$K$40,'perhitungan individu'!$G379,Index!$L$15:$L$40)*Index!$E$8</f>
        <v>0</v>
      </c>
      <c r="O379" s="44">
        <f>SUMIF(Index!$M$15:$M$40,'perhitungan individu'!H379,Index!$N$15:$N$40)*Index!$E$9</f>
        <v>0</v>
      </c>
      <c r="P379" s="44">
        <f>SUMIF('Kinera Unit Kerja'!$B$4:$B$20,'perhitungan individu'!$G379,'Kinera Unit Kerja'!$G$4:$G$20)*Index!$E$10</f>
        <v>0</v>
      </c>
      <c r="Q379" s="44">
        <f>I379*Index!$E$11</f>
        <v>0</v>
      </c>
      <c r="R379" s="47">
        <f t="shared" si="11"/>
        <v>0</v>
      </c>
      <c r="S379" s="48">
        <f t="shared" si="10"/>
        <v>0</v>
      </c>
    </row>
    <row r="380" spans="1:19">
      <c r="A380" s="42"/>
      <c r="B380" s="33"/>
      <c r="C380" s="33"/>
      <c r="D380" s="43"/>
      <c r="E380" s="33"/>
      <c r="F380" s="33"/>
      <c r="G380" s="33"/>
      <c r="H380" s="33"/>
      <c r="I380" s="33"/>
      <c r="J380" s="44">
        <f>(D380/100000)*Index!$E$4</f>
        <v>0</v>
      </c>
      <c r="K380" s="44">
        <f>SUMIF(Index!$C$15:$C$40,'perhitungan individu'!E380,Index!$D$15:$D$40)*Index!$E$5</f>
        <v>0</v>
      </c>
      <c r="L380" s="44">
        <f>SUMIF(Index!$E$15:$E$40,'perhitungan individu'!F380,Index!F$15:F$40)*Index!$E$6</f>
        <v>0</v>
      </c>
      <c r="M380" s="44">
        <f>SUMIF(Index!$H$15:$H$40,'perhitungan individu'!$G380,Index!$I$15:$I$40)*Index!$E$7</f>
        <v>0</v>
      </c>
      <c r="N380" s="44">
        <f>SUMIF(Index!$K$15:$K$40,'perhitungan individu'!$G380,Index!$L$15:$L$40)*Index!$E$8</f>
        <v>0</v>
      </c>
      <c r="O380" s="44">
        <f>SUMIF(Index!$M$15:$M$40,'perhitungan individu'!H380,Index!$N$15:$N$40)*Index!$E$9</f>
        <v>0</v>
      </c>
      <c r="P380" s="44">
        <f>SUMIF('Kinera Unit Kerja'!$B$4:$B$20,'perhitungan individu'!$G380,'Kinera Unit Kerja'!$G$4:$G$20)*Index!$E$10</f>
        <v>0</v>
      </c>
      <c r="Q380" s="44">
        <f>I380*Index!$E$11</f>
        <v>0</v>
      </c>
      <c r="R380" s="47">
        <f t="shared" si="11"/>
        <v>0</v>
      </c>
      <c r="S380" s="48">
        <f t="shared" si="10"/>
        <v>0</v>
      </c>
    </row>
    <row r="381" spans="1:19">
      <c r="A381" s="42"/>
      <c r="B381" s="33"/>
      <c r="C381" s="33"/>
      <c r="D381" s="43"/>
      <c r="E381" s="33"/>
      <c r="F381" s="33"/>
      <c r="G381" s="33"/>
      <c r="H381" s="33"/>
      <c r="I381" s="33"/>
      <c r="J381" s="44">
        <f>(D381/100000)*Index!$E$4</f>
        <v>0</v>
      </c>
      <c r="K381" s="44">
        <f>SUMIF(Index!$C$15:$C$40,'perhitungan individu'!E381,Index!$D$15:$D$40)*Index!$E$5</f>
        <v>0</v>
      </c>
      <c r="L381" s="44">
        <f>SUMIF(Index!$E$15:$E$40,'perhitungan individu'!F381,Index!F$15:F$40)*Index!$E$6</f>
        <v>0</v>
      </c>
      <c r="M381" s="44">
        <f>SUMIF(Index!$H$15:$H$40,'perhitungan individu'!$G381,Index!$I$15:$I$40)*Index!$E$7</f>
        <v>0</v>
      </c>
      <c r="N381" s="44">
        <f>SUMIF(Index!$K$15:$K$40,'perhitungan individu'!$G381,Index!$L$15:$L$40)*Index!$E$8</f>
        <v>0</v>
      </c>
      <c r="O381" s="44">
        <f>SUMIF(Index!$M$15:$M$40,'perhitungan individu'!H381,Index!$N$15:$N$40)*Index!$E$9</f>
        <v>0</v>
      </c>
      <c r="P381" s="44">
        <f>SUMIF('Kinera Unit Kerja'!$B$4:$B$20,'perhitungan individu'!$G381,'Kinera Unit Kerja'!$G$4:$G$20)*Index!$E$10</f>
        <v>0</v>
      </c>
      <c r="Q381" s="44">
        <f>I381*Index!$E$11</f>
        <v>0</v>
      </c>
      <c r="R381" s="47">
        <f t="shared" si="11"/>
        <v>0</v>
      </c>
      <c r="S381" s="48">
        <f t="shared" si="10"/>
        <v>0</v>
      </c>
    </row>
    <row r="382" spans="1:19">
      <c r="A382" s="42"/>
      <c r="B382" s="33"/>
      <c r="C382" s="33"/>
      <c r="D382" s="43"/>
      <c r="E382" s="33"/>
      <c r="F382" s="33"/>
      <c r="G382" s="33"/>
      <c r="H382" s="33"/>
      <c r="I382" s="33"/>
      <c r="J382" s="44">
        <f>(D382/100000)*Index!$E$4</f>
        <v>0</v>
      </c>
      <c r="K382" s="44">
        <f>SUMIF(Index!$C$15:$C$40,'perhitungan individu'!E382,Index!$D$15:$D$40)*Index!$E$5</f>
        <v>0</v>
      </c>
      <c r="L382" s="44">
        <f>SUMIF(Index!$E$15:$E$40,'perhitungan individu'!F382,Index!F$15:F$40)*Index!$E$6</f>
        <v>0</v>
      </c>
      <c r="M382" s="44">
        <f>SUMIF(Index!$H$15:$H$40,'perhitungan individu'!$G382,Index!$I$15:$I$40)*Index!$E$7</f>
        <v>0</v>
      </c>
      <c r="N382" s="44">
        <f>SUMIF(Index!$K$15:$K$40,'perhitungan individu'!$G382,Index!$L$15:$L$40)*Index!$E$8</f>
        <v>0</v>
      </c>
      <c r="O382" s="44">
        <f>SUMIF(Index!$M$15:$M$40,'perhitungan individu'!H382,Index!$N$15:$N$40)*Index!$E$9</f>
        <v>0</v>
      </c>
      <c r="P382" s="44">
        <f>SUMIF('Kinera Unit Kerja'!$B$4:$B$20,'perhitungan individu'!$G382,'Kinera Unit Kerja'!$G$4:$G$20)*Index!$E$10</f>
        <v>0</v>
      </c>
      <c r="Q382" s="44">
        <f>I382*Index!$E$11</f>
        <v>0</v>
      </c>
      <c r="R382" s="47">
        <f t="shared" si="11"/>
        <v>0</v>
      </c>
      <c r="S382" s="48">
        <f t="shared" si="10"/>
        <v>0</v>
      </c>
    </row>
    <row r="383" spans="1:19">
      <c r="A383" s="42"/>
      <c r="B383" s="33"/>
      <c r="C383" s="33"/>
      <c r="D383" s="43"/>
      <c r="E383" s="33"/>
      <c r="F383" s="33"/>
      <c r="G383" s="33"/>
      <c r="H383" s="33"/>
      <c r="I383" s="33"/>
      <c r="J383" s="44">
        <f>(D383/100000)*Index!$E$4</f>
        <v>0</v>
      </c>
      <c r="K383" s="44">
        <f>SUMIF(Index!$C$15:$C$40,'perhitungan individu'!E383,Index!$D$15:$D$40)*Index!$E$5</f>
        <v>0</v>
      </c>
      <c r="L383" s="44">
        <f>SUMIF(Index!$E$15:$E$40,'perhitungan individu'!F383,Index!F$15:F$40)*Index!$E$6</f>
        <v>0</v>
      </c>
      <c r="M383" s="44">
        <f>SUMIF(Index!$H$15:$H$40,'perhitungan individu'!$G383,Index!$I$15:$I$40)*Index!$E$7</f>
        <v>0</v>
      </c>
      <c r="N383" s="44">
        <f>SUMIF(Index!$K$15:$K$40,'perhitungan individu'!$G383,Index!$L$15:$L$40)*Index!$E$8</f>
        <v>0</v>
      </c>
      <c r="O383" s="44">
        <f>SUMIF(Index!$M$15:$M$40,'perhitungan individu'!H383,Index!$N$15:$N$40)*Index!$E$9</f>
        <v>0</v>
      </c>
      <c r="P383" s="44">
        <f>SUMIF('Kinera Unit Kerja'!$B$4:$B$20,'perhitungan individu'!$G383,'Kinera Unit Kerja'!$G$4:$G$20)*Index!$E$10</f>
        <v>0</v>
      </c>
      <c r="Q383" s="44">
        <f>I383*Index!$E$11</f>
        <v>0</v>
      </c>
      <c r="R383" s="47">
        <f t="shared" si="11"/>
        <v>0</v>
      </c>
      <c r="S383" s="48">
        <f t="shared" si="10"/>
        <v>0</v>
      </c>
    </row>
    <row r="384" spans="1:19">
      <c r="A384" s="42"/>
      <c r="B384" s="33"/>
      <c r="C384" s="33"/>
      <c r="D384" s="43"/>
      <c r="E384" s="33"/>
      <c r="F384" s="33"/>
      <c r="G384" s="33"/>
      <c r="H384" s="33"/>
      <c r="I384" s="33"/>
      <c r="J384" s="44">
        <f>(D384/100000)*Index!$E$4</f>
        <v>0</v>
      </c>
      <c r="K384" s="44">
        <f>SUMIF(Index!$C$15:$C$40,'perhitungan individu'!E384,Index!$D$15:$D$40)*Index!$E$5</f>
        <v>0</v>
      </c>
      <c r="L384" s="44">
        <f>SUMIF(Index!$E$15:$E$40,'perhitungan individu'!F384,Index!F$15:F$40)*Index!$E$6</f>
        <v>0</v>
      </c>
      <c r="M384" s="44">
        <f>SUMIF(Index!$H$15:$H$40,'perhitungan individu'!$G384,Index!$I$15:$I$40)*Index!$E$7</f>
        <v>0</v>
      </c>
      <c r="N384" s="44">
        <f>SUMIF(Index!$K$15:$K$40,'perhitungan individu'!$G384,Index!$L$15:$L$40)*Index!$E$8</f>
        <v>0</v>
      </c>
      <c r="O384" s="44">
        <f>SUMIF(Index!$M$15:$M$40,'perhitungan individu'!H384,Index!$N$15:$N$40)*Index!$E$9</f>
        <v>0</v>
      </c>
      <c r="P384" s="44">
        <f>SUMIF('Kinera Unit Kerja'!$B$4:$B$20,'perhitungan individu'!$G384,'Kinera Unit Kerja'!$G$4:$G$20)*Index!$E$10</f>
        <v>0</v>
      </c>
      <c r="Q384" s="44">
        <f>I384*Index!$E$11</f>
        <v>0</v>
      </c>
      <c r="R384" s="47">
        <f t="shared" si="11"/>
        <v>0</v>
      </c>
      <c r="S384" s="48">
        <f t="shared" si="10"/>
        <v>0</v>
      </c>
    </row>
    <row r="385" spans="1:19">
      <c r="A385" s="42"/>
      <c r="B385" s="33"/>
      <c r="C385" s="33"/>
      <c r="D385" s="43"/>
      <c r="E385" s="33"/>
      <c r="F385" s="33"/>
      <c r="G385" s="33"/>
      <c r="H385" s="33"/>
      <c r="I385" s="33"/>
      <c r="J385" s="44">
        <f>(D385/100000)*Index!$E$4</f>
        <v>0</v>
      </c>
      <c r="K385" s="44">
        <f>SUMIF(Index!$C$15:$C$40,'perhitungan individu'!E385,Index!$D$15:$D$40)*Index!$E$5</f>
        <v>0</v>
      </c>
      <c r="L385" s="44">
        <f>SUMIF(Index!$E$15:$E$40,'perhitungan individu'!F385,Index!F$15:F$40)*Index!$E$6</f>
        <v>0</v>
      </c>
      <c r="M385" s="44">
        <f>SUMIF(Index!$H$15:$H$40,'perhitungan individu'!$G385,Index!$I$15:$I$40)*Index!$E$7</f>
        <v>0</v>
      </c>
      <c r="N385" s="44">
        <f>SUMIF(Index!$K$15:$K$40,'perhitungan individu'!$G385,Index!$L$15:$L$40)*Index!$E$8</f>
        <v>0</v>
      </c>
      <c r="O385" s="44">
        <f>SUMIF(Index!$M$15:$M$40,'perhitungan individu'!H385,Index!$N$15:$N$40)*Index!$E$9</f>
        <v>0</v>
      </c>
      <c r="P385" s="44">
        <f>SUMIF('Kinera Unit Kerja'!$B$4:$B$20,'perhitungan individu'!$G385,'Kinera Unit Kerja'!$G$4:$G$20)*Index!$E$10</f>
        <v>0</v>
      </c>
      <c r="Q385" s="44">
        <f>I385*Index!$E$11</f>
        <v>0</v>
      </c>
      <c r="R385" s="47">
        <f t="shared" si="11"/>
        <v>0</v>
      </c>
      <c r="S385" s="48">
        <f t="shared" si="10"/>
        <v>0</v>
      </c>
    </row>
    <row r="386" spans="1:19">
      <c r="A386" s="42"/>
      <c r="B386" s="33"/>
      <c r="C386" s="33"/>
      <c r="D386" s="43"/>
      <c r="E386" s="33"/>
      <c r="F386" s="33"/>
      <c r="G386" s="33"/>
      <c r="H386" s="33"/>
      <c r="I386" s="33"/>
      <c r="J386" s="44">
        <f>(D386/100000)*Index!$E$4</f>
        <v>0</v>
      </c>
      <c r="K386" s="44">
        <f>SUMIF(Index!$C$15:$C$40,'perhitungan individu'!E386,Index!$D$15:$D$40)*Index!$E$5</f>
        <v>0</v>
      </c>
      <c r="L386" s="44">
        <f>SUMIF(Index!$E$15:$E$40,'perhitungan individu'!F386,Index!F$15:F$40)*Index!$E$6</f>
        <v>0</v>
      </c>
      <c r="M386" s="44">
        <f>SUMIF(Index!$H$15:$H$40,'perhitungan individu'!$G386,Index!$I$15:$I$40)*Index!$E$7</f>
        <v>0</v>
      </c>
      <c r="N386" s="44">
        <f>SUMIF(Index!$K$15:$K$40,'perhitungan individu'!$G386,Index!$L$15:$L$40)*Index!$E$8</f>
        <v>0</v>
      </c>
      <c r="O386" s="44">
        <f>SUMIF(Index!$M$15:$M$40,'perhitungan individu'!H386,Index!$N$15:$N$40)*Index!$E$9</f>
        <v>0</v>
      </c>
      <c r="P386" s="44">
        <f>SUMIF('Kinera Unit Kerja'!$B$4:$B$20,'perhitungan individu'!$G386,'Kinera Unit Kerja'!$G$4:$G$20)*Index!$E$10</f>
        <v>0</v>
      </c>
      <c r="Q386" s="44">
        <f>I386*Index!$E$11</f>
        <v>0</v>
      </c>
      <c r="R386" s="47">
        <f t="shared" si="11"/>
        <v>0</v>
      </c>
      <c r="S386" s="48">
        <f t="shared" si="10"/>
        <v>0</v>
      </c>
    </row>
    <row r="387" spans="1:19">
      <c r="A387" s="42"/>
      <c r="B387" s="33"/>
      <c r="C387" s="33"/>
      <c r="D387" s="43"/>
      <c r="E387" s="33"/>
      <c r="F387" s="33"/>
      <c r="G387" s="33"/>
      <c r="H387" s="33"/>
      <c r="I387" s="33"/>
      <c r="J387" s="44">
        <f>(D387/100000)*Index!$E$4</f>
        <v>0</v>
      </c>
      <c r="K387" s="44">
        <f>SUMIF(Index!$C$15:$C$40,'perhitungan individu'!E387,Index!$D$15:$D$40)*Index!$E$5</f>
        <v>0</v>
      </c>
      <c r="L387" s="44">
        <f>SUMIF(Index!$E$15:$E$40,'perhitungan individu'!F387,Index!F$15:F$40)*Index!$E$6</f>
        <v>0</v>
      </c>
      <c r="M387" s="44">
        <f>SUMIF(Index!$H$15:$H$40,'perhitungan individu'!$G387,Index!$I$15:$I$40)*Index!$E$7</f>
        <v>0</v>
      </c>
      <c r="N387" s="44">
        <f>SUMIF(Index!$K$15:$K$40,'perhitungan individu'!$G387,Index!$L$15:$L$40)*Index!$E$8</f>
        <v>0</v>
      </c>
      <c r="O387" s="44">
        <f>SUMIF(Index!$M$15:$M$40,'perhitungan individu'!H387,Index!$N$15:$N$40)*Index!$E$9</f>
        <v>0</v>
      </c>
      <c r="P387" s="44">
        <f>SUMIF('Kinera Unit Kerja'!$B$4:$B$20,'perhitungan individu'!$G387,'Kinera Unit Kerja'!$G$4:$G$20)*Index!$E$10</f>
        <v>0</v>
      </c>
      <c r="Q387" s="44">
        <f>I387*Index!$E$11</f>
        <v>0</v>
      </c>
      <c r="R387" s="47">
        <f t="shared" si="11"/>
        <v>0</v>
      </c>
      <c r="S387" s="48">
        <f t="shared" si="10"/>
        <v>0</v>
      </c>
    </row>
    <row r="388" spans="1:19">
      <c r="A388" s="42"/>
      <c r="B388" s="33"/>
      <c r="C388" s="33"/>
      <c r="D388" s="43"/>
      <c r="E388" s="33"/>
      <c r="F388" s="33"/>
      <c r="G388" s="33"/>
      <c r="H388" s="33"/>
      <c r="I388" s="33"/>
      <c r="J388" s="44">
        <f>(D388/100000)*Index!$E$4</f>
        <v>0</v>
      </c>
      <c r="K388" s="44">
        <f>SUMIF(Index!$C$15:$C$40,'perhitungan individu'!E388,Index!$D$15:$D$40)*Index!$E$5</f>
        <v>0</v>
      </c>
      <c r="L388" s="44">
        <f>SUMIF(Index!$E$15:$E$40,'perhitungan individu'!F388,Index!F$15:F$40)*Index!$E$6</f>
        <v>0</v>
      </c>
      <c r="M388" s="44">
        <f>SUMIF(Index!$H$15:$H$40,'perhitungan individu'!$G388,Index!$I$15:$I$40)*Index!$E$7</f>
        <v>0</v>
      </c>
      <c r="N388" s="44">
        <f>SUMIF(Index!$K$15:$K$40,'perhitungan individu'!$G388,Index!$L$15:$L$40)*Index!$E$8</f>
        <v>0</v>
      </c>
      <c r="O388" s="44">
        <f>SUMIF(Index!$M$15:$M$40,'perhitungan individu'!H388,Index!$N$15:$N$40)*Index!$E$9</f>
        <v>0</v>
      </c>
      <c r="P388" s="44">
        <f>SUMIF('Kinera Unit Kerja'!$B$4:$B$20,'perhitungan individu'!$G388,'Kinera Unit Kerja'!$G$4:$G$20)*Index!$E$10</f>
        <v>0</v>
      </c>
      <c r="Q388" s="44">
        <f>I388*Index!$E$11</f>
        <v>0</v>
      </c>
      <c r="R388" s="47">
        <f t="shared" si="11"/>
        <v>0</v>
      </c>
      <c r="S388" s="48">
        <f t="shared" si="10"/>
        <v>0</v>
      </c>
    </row>
    <row r="389" spans="1:19">
      <c r="A389" s="42"/>
      <c r="B389" s="33"/>
      <c r="C389" s="33"/>
      <c r="D389" s="43"/>
      <c r="E389" s="33"/>
      <c r="F389" s="33"/>
      <c r="G389" s="33"/>
      <c r="H389" s="33"/>
      <c r="I389" s="33"/>
      <c r="J389" s="44">
        <f>(D389/100000)*Index!$E$4</f>
        <v>0</v>
      </c>
      <c r="K389" s="44">
        <f>SUMIF(Index!$C$15:$C$40,'perhitungan individu'!E389,Index!$D$15:$D$40)*Index!$E$5</f>
        <v>0</v>
      </c>
      <c r="L389" s="44">
        <f>SUMIF(Index!$E$15:$E$40,'perhitungan individu'!F389,Index!F$15:F$40)*Index!$E$6</f>
        <v>0</v>
      </c>
      <c r="M389" s="44">
        <f>SUMIF(Index!$H$15:$H$40,'perhitungan individu'!$G389,Index!$I$15:$I$40)*Index!$E$7</f>
        <v>0</v>
      </c>
      <c r="N389" s="44">
        <f>SUMIF(Index!$K$15:$K$40,'perhitungan individu'!$G389,Index!$L$15:$L$40)*Index!$E$8</f>
        <v>0</v>
      </c>
      <c r="O389" s="44">
        <f>SUMIF(Index!$M$15:$M$40,'perhitungan individu'!H389,Index!$N$15:$N$40)*Index!$E$9</f>
        <v>0</v>
      </c>
      <c r="P389" s="44">
        <f>SUMIF('Kinera Unit Kerja'!$B$4:$B$20,'perhitungan individu'!$G389,'Kinera Unit Kerja'!$G$4:$G$20)*Index!$E$10</f>
        <v>0</v>
      </c>
      <c r="Q389" s="44">
        <f>I389*Index!$E$11</f>
        <v>0</v>
      </c>
      <c r="R389" s="47">
        <f t="shared" si="11"/>
        <v>0</v>
      </c>
      <c r="S389" s="48">
        <f t="shared" si="10"/>
        <v>0</v>
      </c>
    </row>
    <row r="390" spans="1:19">
      <c r="A390" s="42"/>
      <c r="B390" s="33"/>
      <c r="C390" s="33"/>
      <c r="D390" s="43"/>
      <c r="E390" s="33"/>
      <c r="F390" s="33"/>
      <c r="G390" s="33"/>
      <c r="H390" s="33"/>
      <c r="I390" s="33"/>
      <c r="J390" s="44">
        <f>(D390/100000)*Index!$E$4</f>
        <v>0</v>
      </c>
      <c r="K390" s="44">
        <f>SUMIF(Index!$C$15:$C$40,'perhitungan individu'!E390,Index!$D$15:$D$40)*Index!$E$5</f>
        <v>0</v>
      </c>
      <c r="L390" s="44">
        <f>SUMIF(Index!$E$15:$E$40,'perhitungan individu'!F390,Index!F$15:F$40)*Index!$E$6</f>
        <v>0</v>
      </c>
      <c r="M390" s="44">
        <f>SUMIF(Index!$H$15:$H$40,'perhitungan individu'!$G390,Index!$I$15:$I$40)*Index!$E$7</f>
        <v>0</v>
      </c>
      <c r="N390" s="44">
        <f>SUMIF(Index!$K$15:$K$40,'perhitungan individu'!$G390,Index!$L$15:$L$40)*Index!$E$8</f>
        <v>0</v>
      </c>
      <c r="O390" s="44">
        <f>SUMIF(Index!$M$15:$M$40,'perhitungan individu'!H390,Index!$N$15:$N$40)*Index!$E$9</f>
        <v>0</v>
      </c>
      <c r="P390" s="44">
        <f>SUMIF('Kinera Unit Kerja'!$B$4:$B$20,'perhitungan individu'!$G390,'Kinera Unit Kerja'!$G$4:$G$20)*Index!$E$10</f>
        <v>0</v>
      </c>
      <c r="Q390" s="44">
        <f>I390*Index!$E$11</f>
        <v>0</v>
      </c>
      <c r="R390" s="47">
        <f t="shared" si="11"/>
        <v>0</v>
      </c>
      <c r="S390" s="48">
        <f t="shared" si="10"/>
        <v>0</v>
      </c>
    </row>
    <row r="391" spans="1:19">
      <c r="A391" s="42"/>
      <c r="B391" s="33"/>
      <c r="C391" s="33"/>
      <c r="D391" s="43"/>
      <c r="E391" s="33"/>
      <c r="F391" s="33"/>
      <c r="G391" s="33"/>
      <c r="H391" s="33"/>
      <c r="I391" s="33"/>
      <c r="J391" s="44">
        <f>(D391/100000)*Index!$E$4</f>
        <v>0</v>
      </c>
      <c r="K391" s="44">
        <f>SUMIF(Index!$C$15:$C$40,'perhitungan individu'!E391,Index!$D$15:$D$40)*Index!$E$5</f>
        <v>0</v>
      </c>
      <c r="L391" s="44">
        <f>SUMIF(Index!$E$15:$E$40,'perhitungan individu'!F391,Index!F$15:F$40)*Index!$E$6</f>
        <v>0</v>
      </c>
      <c r="M391" s="44">
        <f>SUMIF(Index!$H$15:$H$40,'perhitungan individu'!$G391,Index!$I$15:$I$40)*Index!$E$7</f>
        <v>0</v>
      </c>
      <c r="N391" s="44">
        <f>SUMIF(Index!$K$15:$K$40,'perhitungan individu'!$G391,Index!$L$15:$L$40)*Index!$E$8</f>
        <v>0</v>
      </c>
      <c r="O391" s="44">
        <f>SUMIF(Index!$M$15:$M$40,'perhitungan individu'!H391,Index!$N$15:$N$40)*Index!$E$9</f>
        <v>0</v>
      </c>
      <c r="P391" s="44">
        <f>SUMIF('Kinera Unit Kerja'!$B$4:$B$20,'perhitungan individu'!$G391,'Kinera Unit Kerja'!$G$4:$G$20)*Index!$E$10</f>
        <v>0</v>
      </c>
      <c r="Q391" s="44">
        <f>I391*Index!$E$11</f>
        <v>0</v>
      </c>
      <c r="R391" s="47">
        <f t="shared" si="11"/>
        <v>0</v>
      </c>
      <c r="S391" s="48">
        <f t="shared" si="10"/>
        <v>0</v>
      </c>
    </row>
    <row r="392" spans="1:19">
      <c r="A392" s="42"/>
      <c r="B392" s="33"/>
      <c r="C392" s="33"/>
      <c r="D392" s="43"/>
      <c r="E392" s="33"/>
      <c r="F392" s="33"/>
      <c r="G392" s="33"/>
      <c r="H392" s="33"/>
      <c r="I392" s="33"/>
      <c r="J392" s="44">
        <f>(D392/100000)*Index!$E$4</f>
        <v>0</v>
      </c>
      <c r="K392" s="44">
        <f>SUMIF(Index!$C$15:$C$40,'perhitungan individu'!E392,Index!$D$15:$D$40)*Index!$E$5</f>
        <v>0</v>
      </c>
      <c r="L392" s="44">
        <f>SUMIF(Index!$E$15:$E$40,'perhitungan individu'!F392,Index!F$15:F$40)*Index!$E$6</f>
        <v>0</v>
      </c>
      <c r="M392" s="44">
        <f>SUMIF(Index!$H$15:$H$40,'perhitungan individu'!$G392,Index!$I$15:$I$40)*Index!$E$7</f>
        <v>0</v>
      </c>
      <c r="N392" s="44">
        <f>SUMIF(Index!$K$15:$K$40,'perhitungan individu'!$G392,Index!$L$15:$L$40)*Index!$E$8</f>
        <v>0</v>
      </c>
      <c r="O392" s="44">
        <f>SUMIF(Index!$M$15:$M$40,'perhitungan individu'!H392,Index!$N$15:$N$40)*Index!$E$9</f>
        <v>0</v>
      </c>
      <c r="P392" s="44">
        <f>SUMIF('Kinera Unit Kerja'!$B$4:$B$20,'perhitungan individu'!$G392,'Kinera Unit Kerja'!$G$4:$G$20)*Index!$E$10</f>
        <v>0</v>
      </c>
      <c r="Q392" s="44">
        <f>I392*Index!$E$11</f>
        <v>0</v>
      </c>
      <c r="R392" s="47">
        <f t="shared" si="11"/>
        <v>0</v>
      </c>
      <c r="S392" s="48">
        <f t="shared" si="10"/>
        <v>0</v>
      </c>
    </row>
    <row r="393" spans="1:19">
      <c r="A393" s="42"/>
      <c r="B393" s="33"/>
      <c r="C393" s="33"/>
      <c r="D393" s="43"/>
      <c r="E393" s="33"/>
      <c r="F393" s="33"/>
      <c r="G393" s="33"/>
      <c r="H393" s="33"/>
      <c r="I393" s="33"/>
      <c r="J393" s="44">
        <f>(D393/100000)*Index!$E$4</f>
        <v>0</v>
      </c>
      <c r="K393" s="44">
        <f>SUMIF(Index!$C$15:$C$40,'perhitungan individu'!E393,Index!$D$15:$D$40)*Index!$E$5</f>
        <v>0</v>
      </c>
      <c r="L393" s="44">
        <f>SUMIF(Index!$E$15:$E$40,'perhitungan individu'!F393,Index!F$15:F$40)*Index!$E$6</f>
        <v>0</v>
      </c>
      <c r="M393" s="44">
        <f>SUMIF(Index!$H$15:$H$40,'perhitungan individu'!$G393,Index!$I$15:$I$40)*Index!$E$7</f>
        <v>0</v>
      </c>
      <c r="N393" s="44">
        <f>SUMIF(Index!$K$15:$K$40,'perhitungan individu'!$G393,Index!$L$15:$L$40)*Index!$E$8</f>
        <v>0</v>
      </c>
      <c r="O393" s="44">
        <f>SUMIF(Index!$M$15:$M$40,'perhitungan individu'!H393,Index!$N$15:$N$40)*Index!$E$9</f>
        <v>0</v>
      </c>
      <c r="P393" s="44">
        <f>SUMIF('Kinera Unit Kerja'!$B$4:$B$20,'perhitungan individu'!$G393,'Kinera Unit Kerja'!$G$4:$G$20)*Index!$E$10</f>
        <v>0</v>
      </c>
      <c r="Q393" s="44">
        <f>I393*Index!$E$11</f>
        <v>0</v>
      </c>
      <c r="R393" s="47">
        <f t="shared" si="11"/>
        <v>0</v>
      </c>
      <c r="S393" s="48">
        <f t="shared" si="10"/>
        <v>0</v>
      </c>
    </row>
    <row r="394" spans="1:19">
      <c r="A394" s="42"/>
      <c r="B394" s="33"/>
      <c r="C394" s="33"/>
      <c r="D394" s="43"/>
      <c r="E394" s="33"/>
      <c r="F394" s="33"/>
      <c r="G394" s="33"/>
      <c r="H394" s="33"/>
      <c r="I394" s="33"/>
      <c r="J394" s="44">
        <f>(D394/100000)*Index!$E$4</f>
        <v>0</v>
      </c>
      <c r="K394" s="44">
        <f>SUMIF(Index!$C$15:$C$40,'perhitungan individu'!E394,Index!$D$15:$D$40)*Index!$E$5</f>
        <v>0</v>
      </c>
      <c r="L394" s="44">
        <f>SUMIF(Index!$E$15:$E$40,'perhitungan individu'!F394,Index!F$15:F$40)*Index!$E$6</f>
        <v>0</v>
      </c>
      <c r="M394" s="44">
        <f>SUMIF(Index!$H$15:$H$40,'perhitungan individu'!$G394,Index!$I$15:$I$40)*Index!$E$7</f>
        <v>0</v>
      </c>
      <c r="N394" s="44">
        <f>SUMIF(Index!$K$15:$K$40,'perhitungan individu'!$G394,Index!$L$15:$L$40)*Index!$E$8</f>
        <v>0</v>
      </c>
      <c r="O394" s="44">
        <f>SUMIF(Index!$M$15:$M$40,'perhitungan individu'!H394,Index!$N$15:$N$40)*Index!$E$9</f>
        <v>0</v>
      </c>
      <c r="P394" s="44">
        <f>SUMIF('Kinera Unit Kerja'!$B$4:$B$20,'perhitungan individu'!$G394,'Kinera Unit Kerja'!$G$4:$G$20)*Index!$E$10</f>
        <v>0</v>
      </c>
      <c r="Q394" s="44">
        <f>I394*Index!$E$11</f>
        <v>0</v>
      </c>
      <c r="R394" s="47">
        <f t="shared" si="11"/>
        <v>0</v>
      </c>
      <c r="S394" s="48">
        <f t="shared" si="10"/>
        <v>0</v>
      </c>
    </row>
    <row r="395" spans="1:19">
      <c r="A395" s="42"/>
      <c r="B395" s="33"/>
      <c r="C395" s="33"/>
      <c r="D395" s="43"/>
      <c r="E395" s="33"/>
      <c r="F395" s="33"/>
      <c r="G395" s="33"/>
      <c r="H395" s="33"/>
      <c r="I395" s="33"/>
      <c r="J395" s="44">
        <f>(D395/100000)*Index!$E$4</f>
        <v>0</v>
      </c>
      <c r="K395" s="44">
        <f>SUMIF(Index!$C$15:$C$40,'perhitungan individu'!E395,Index!$D$15:$D$40)*Index!$E$5</f>
        <v>0</v>
      </c>
      <c r="L395" s="44">
        <f>SUMIF(Index!$E$15:$E$40,'perhitungan individu'!F395,Index!F$15:F$40)*Index!$E$6</f>
        <v>0</v>
      </c>
      <c r="M395" s="44">
        <f>SUMIF(Index!$H$15:$H$40,'perhitungan individu'!$G395,Index!$I$15:$I$40)*Index!$E$7</f>
        <v>0</v>
      </c>
      <c r="N395" s="44">
        <f>SUMIF(Index!$K$15:$K$40,'perhitungan individu'!$G395,Index!$L$15:$L$40)*Index!$E$8</f>
        <v>0</v>
      </c>
      <c r="O395" s="44">
        <f>SUMIF(Index!$M$15:$M$40,'perhitungan individu'!H395,Index!$N$15:$N$40)*Index!$E$9</f>
        <v>0</v>
      </c>
      <c r="P395" s="44">
        <f>SUMIF('Kinera Unit Kerja'!$B$4:$B$20,'perhitungan individu'!$G395,'Kinera Unit Kerja'!$G$4:$G$20)*Index!$E$10</f>
        <v>0</v>
      </c>
      <c r="Q395" s="44">
        <f>I395*Index!$E$11</f>
        <v>0</v>
      </c>
      <c r="R395" s="47">
        <f t="shared" si="11"/>
        <v>0</v>
      </c>
      <c r="S395" s="48">
        <f t="shared" si="10"/>
        <v>0</v>
      </c>
    </row>
    <row r="396" spans="1:19">
      <c r="A396" s="42"/>
      <c r="B396" s="33"/>
      <c r="C396" s="33"/>
      <c r="D396" s="43"/>
      <c r="E396" s="33"/>
      <c r="F396" s="33"/>
      <c r="G396" s="33"/>
      <c r="H396" s="33"/>
      <c r="I396" s="33"/>
      <c r="J396" s="44">
        <f>(D396/100000)*Index!$E$4</f>
        <v>0</v>
      </c>
      <c r="K396" s="44">
        <f>SUMIF(Index!$C$15:$C$40,'perhitungan individu'!E396,Index!$D$15:$D$40)*Index!$E$5</f>
        <v>0</v>
      </c>
      <c r="L396" s="44">
        <f>SUMIF(Index!$E$15:$E$40,'perhitungan individu'!F396,Index!F$15:F$40)*Index!$E$6</f>
        <v>0</v>
      </c>
      <c r="M396" s="44">
        <f>SUMIF(Index!$H$15:$H$40,'perhitungan individu'!$G396,Index!$I$15:$I$40)*Index!$E$7</f>
        <v>0</v>
      </c>
      <c r="N396" s="44">
        <f>SUMIF(Index!$K$15:$K$40,'perhitungan individu'!$G396,Index!$L$15:$L$40)*Index!$E$8</f>
        <v>0</v>
      </c>
      <c r="O396" s="44">
        <f>SUMIF(Index!$M$15:$M$40,'perhitungan individu'!H396,Index!$N$15:$N$40)*Index!$E$9</f>
        <v>0</v>
      </c>
      <c r="P396" s="44">
        <f>SUMIF('Kinera Unit Kerja'!$B$4:$B$20,'perhitungan individu'!$G396,'Kinera Unit Kerja'!$G$4:$G$20)*Index!$E$10</f>
        <v>0</v>
      </c>
      <c r="Q396" s="44">
        <f>I396*Index!$E$11</f>
        <v>0</v>
      </c>
      <c r="R396" s="47">
        <f t="shared" si="11"/>
        <v>0</v>
      </c>
      <c r="S396" s="48">
        <f t="shared" si="10"/>
        <v>0</v>
      </c>
    </row>
    <row r="397" spans="1:19">
      <c r="A397" s="42"/>
      <c r="B397" s="33"/>
      <c r="C397" s="33"/>
      <c r="D397" s="43"/>
      <c r="E397" s="33"/>
      <c r="F397" s="33"/>
      <c r="G397" s="33"/>
      <c r="H397" s="33"/>
      <c r="I397" s="33"/>
      <c r="J397" s="44">
        <f>(D397/100000)*Index!$E$4</f>
        <v>0</v>
      </c>
      <c r="K397" s="44">
        <f>SUMIF(Index!$C$15:$C$40,'perhitungan individu'!E397,Index!$D$15:$D$40)*Index!$E$5</f>
        <v>0</v>
      </c>
      <c r="L397" s="44">
        <f>SUMIF(Index!$E$15:$E$40,'perhitungan individu'!F397,Index!F$15:F$40)*Index!$E$6</f>
        <v>0</v>
      </c>
      <c r="M397" s="44">
        <f>SUMIF(Index!$H$15:$H$40,'perhitungan individu'!$G397,Index!$I$15:$I$40)*Index!$E$7</f>
        <v>0</v>
      </c>
      <c r="N397" s="44">
        <f>SUMIF(Index!$K$15:$K$40,'perhitungan individu'!$G397,Index!$L$15:$L$40)*Index!$E$8</f>
        <v>0</v>
      </c>
      <c r="O397" s="44">
        <f>SUMIF(Index!$M$15:$M$40,'perhitungan individu'!H397,Index!$N$15:$N$40)*Index!$E$9</f>
        <v>0</v>
      </c>
      <c r="P397" s="44">
        <f>SUMIF('Kinera Unit Kerja'!$B$4:$B$20,'perhitungan individu'!$G397,'Kinera Unit Kerja'!$G$4:$G$20)*Index!$E$10</f>
        <v>0</v>
      </c>
      <c r="Q397" s="44">
        <f>I397*Index!$E$11</f>
        <v>0</v>
      </c>
      <c r="R397" s="47">
        <f t="shared" si="11"/>
        <v>0</v>
      </c>
      <c r="S397" s="48">
        <f t="shared" si="10"/>
        <v>0</v>
      </c>
    </row>
    <row r="398" spans="1:19">
      <c r="A398" s="42"/>
      <c r="B398" s="33"/>
      <c r="C398" s="33"/>
      <c r="D398" s="43"/>
      <c r="E398" s="33"/>
      <c r="F398" s="33"/>
      <c r="G398" s="33"/>
      <c r="H398" s="33"/>
      <c r="I398" s="33"/>
      <c r="J398" s="44">
        <f>(D398/100000)*Index!$E$4</f>
        <v>0</v>
      </c>
      <c r="K398" s="44">
        <f>SUMIF(Index!$C$15:$C$40,'perhitungan individu'!E398,Index!$D$15:$D$40)*Index!$E$5</f>
        <v>0</v>
      </c>
      <c r="L398" s="44">
        <f>SUMIF(Index!$E$15:$E$40,'perhitungan individu'!F398,Index!F$15:F$40)*Index!$E$6</f>
        <v>0</v>
      </c>
      <c r="M398" s="44">
        <f>SUMIF(Index!$H$15:$H$40,'perhitungan individu'!$G398,Index!$I$15:$I$40)*Index!$E$7</f>
        <v>0</v>
      </c>
      <c r="N398" s="44">
        <f>SUMIF(Index!$K$15:$K$40,'perhitungan individu'!$G398,Index!$L$15:$L$40)*Index!$E$8</f>
        <v>0</v>
      </c>
      <c r="O398" s="44">
        <f>SUMIF(Index!$M$15:$M$40,'perhitungan individu'!H398,Index!$N$15:$N$40)*Index!$E$9</f>
        <v>0</v>
      </c>
      <c r="P398" s="44">
        <f>SUMIF('Kinera Unit Kerja'!$B$4:$B$20,'perhitungan individu'!$G398,'Kinera Unit Kerja'!$G$4:$G$20)*Index!$E$10</f>
        <v>0</v>
      </c>
      <c r="Q398" s="44">
        <f>I398*Index!$E$11</f>
        <v>0</v>
      </c>
      <c r="R398" s="47">
        <f t="shared" si="11"/>
        <v>0</v>
      </c>
      <c r="S398" s="48">
        <f t="shared" si="10"/>
        <v>0</v>
      </c>
    </row>
    <row r="399" spans="1:19">
      <c r="A399" s="42"/>
      <c r="B399" s="33"/>
      <c r="C399" s="33"/>
      <c r="D399" s="43"/>
      <c r="E399" s="33"/>
      <c r="F399" s="33"/>
      <c r="G399" s="33"/>
      <c r="H399" s="33"/>
      <c r="I399" s="33"/>
      <c r="J399" s="44">
        <f>(D399/100000)*Index!$E$4</f>
        <v>0</v>
      </c>
      <c r="K399" s="44">
        <f>SUMIF(Index!$C$15:$C$40,'perhitungan individu'!E399,Index!$D$15:$D$40)*Index!$E$5</f>
        <v>0</v>
      </c>
      <c r="L399" s="44">
        <f>SUMIF(Index!$E$15:$E$40,'perhitungan individu'!F399,Index!F$15:F$40)*Index!$E$6</f>
        <v>0</v>
      </c>
      <c r="M399" s="44">
        <f>SUMIF(Index!$H$15:$H$40,'perhitungan individu'!$G399,Index!$I$15:$I$40)*Index!$E$7</f>
        <v>0</v>
      </c>
      <c r="N399" s="44">
        <f>SUMIF(Index!$K$15:$K$40,'perhitungan individu'!$G399,Index!$L$15:$L$40)*Index!$E$8</f>
        <v>0</v>
      </c>
      <c r="O399" s="44">
        <f>SUMIF(Index!$M$15:$M$40,'perhitungan individu'!H399,Index!$N$15:$N$40)*Index!$E$9</f>
        <v>0</v>
      </c>
      <c r="P399" s="44">
        <f>SUMIF('Kinera Unit Kerja'!$B$4:$B$20,'perhitungan individu'!$G399,'Kinera Unit Kerja'!$G$4:$G$20)*Index!$E$10</f>
        <v>0</v>
      </c>
      <c r="Q399" s="44">
        <f>I399*Index!$E$11</f>
        <v>0</v>
      </c>
      <c r="R399" s="47">
        <f t="shared" si="11"/>
        <v>0</v>
      </c>
      <c r="S399" s="48">
        <f t="shared" si="10"/>
        <v>0</v>
      </c>
    </row>
    <row r="400" spans="1:19">
      <c r="A400" s="42"/>
      <c r="B400" s="33"/>
      <c r="C400" s="33"/>
      <c r="D400" s="43"/>
      <c r="E400" s="33"/>
      <c r="F400" s="33"/>
      <c r="G400" s="33"/>
      <c r="H400" s="33"/>
      <c r="I400" s="33"/>
      <c r="J400" s="44">
        <f>(D400/100000)*Index!$E$4</f>
        <v>0</v>
      </c>
      <c r="K400" s="44">
        <f>SUMIF(Index!$C$15:$C$40,'perhitungan individu'!E400,Index!$D$15:$D$40)*Index!$E$5</f>
        <v>0</v>
      </c>
      <c r="L400" s="44">
        <f>SUMIF(Index!$E$15:$E$40,'perhitungan individu'!F400,Index!F$15:F$40)*Index!$E$6</f>
        <v>0</v>
      </c>
      <c r="M400" s="44">
        <f>SUMIF(Index!$H$15:$H$40,'perhitungan individu'!$G400,Index!$I$15:$I$40)*Index!$E$7</f>
        <v>0</v>
      </c>
      <c r="N400" s="44">
        <f>SUMIF(Index!$K$15:$K$40,'perhitungan individu'!$G400,Index!$L$15:$L$40)*Index!$E$8</f>
        <v>0</v>
      </c>
      <c r="O400" s="44">
        <f>SUMIF(Index!$M$15:$M$40,'perhitungan individu'!H400,Index!$N$15:$N$40)*Index!$E$9</f>
        <v>0</v>
      </c>
      <c r="P400" s="44">
        <f>SUMIF('Kinera Unit Kerja'!$B$4:$B$20,'perhitungan individu'!$G400,'Kinera Unit Kerja'!$G$4:$G$20)*Index!$E$10</f>
        <v>0</v>
      </c>
      <c r="Q400" s="44">
        <f>I400*Index!$E$11</f>
        <v>0</v>
      </c>
      <c r="R400" s="47">
        <f t="shared" si="11"/>
        <v>0</v>
      </c>
      <c r="S400" s="48">
        <f t="shared" si="10"/>
        <v>0</v>
      </c>
    </row>
    <row r="401" spans="1:19">
      <c r="A401" s="42"/>
      <c r="B401" s="33"/>
      <c r="C401" s="33"/>
      <c r="D401" s="43"/>
      <c r="E401" s="33"/>
      <c r="F401" s="33"/>
      <c r="G401" s="33"/>
      <c r="H401" s="33"/>
      <c r="I401" s="33"/>
      <c r="J401" s="44">
        <f>(D401/100000)*Index!$E$4</f>
        <v>0</v>
      </c>
      <c r="K401" s="44">
        <f>SUMIF(Index!$C$15:$C$40,'perhitungan individu'!E401,Index!$D$15:$D$40)*Index!$E$5</f>
        <v>0</v>
      </c>
      <c r="L401" s="44">
        <f>SUMIF(Index!$E$15:$E$40,'perhitungan individu'!F401,Index!F$15:F$40)*Index!$E$6</f>
        <v>0</v>
      </c>
      <c r="M401" s="44">
        <f>SUMIF(Index!$H$15:$H$40,'perhitungan individu'!$G401,Index!$I$15:$I$40)*Index!$E$7</f>
        <v>0</v>
      </c>
      <c r="N401" s="44">
        <f>SUMIF(Index!$K$15:$K$40,'perhitungan individu'!$G401,Index!$L$15:$L$40)*Index!$E$8</f>
        <v>0</v>
      </c>
      <c r="O401" s="44">
        <f>SUMIF(Index!$M$15:$M$40,'perhitungan individu'!H401,Index!$N$15:$N$40)*Index!$E$9</f>
        <v>0</v>
      </c>
      <c r="P401" s="44">
        <f>SUMIF('Kinera Unit Kerja'!$B$4:$B$20,'perhitungan individu'!$G401,'Kinera Unit Kerja'!$G$4:$G$20)*Index!$E$10</f>
        <v>0</v>
      </c>
      <c r="Q401" s="44">
        <f>I401*Index!$E$11</f>
        <v>0</v>
      </c>
      <c r="R401" s="47">
        <f t="shared" si="11"/>
        <v>0</v>
      </c>
      <c r="S401" s="48">
        <f t="shared" si="10"/>
        <v>0</v>
      </c>
    </row>
    <row r="402" spans="1:19">
      <c r="A402" s="42"/>
      <c r="B402" s="33"/>
      <c r="C402" s="33"/>
      <c r="D402" s="43"/>
      <c r="E402" s="33"/>
      <c r="F402" s="33"/>
      <c r="G402" s="33"/>
      <c r="H402" s="33"/>
      <c r="I402" s="33"/>
      <c r="J402" s="44">
        <f>(D402/100000)*Index!$E$4</f>
        <v>0</v>
      </c>
      <c r="K402" s="44">
        <f>SUMIF(Index!$C$15:$C$40,'perhitungan individu'!E402,Index!$D$15:$D$40)*Index!$E$5</f>
        <v>0</v>
      </c>
      <c r="L402" s="44">
        <f>SUMIF(Index!$E$15:$E$40,'perhitungan individu'!F402,Index!F$15:F$40)*Index!$E$6</f>
        <v>0</v>
      </c>
      <c r="M402" s="44">
        <f>SUMIF(Index!$H$15:$H$40,'perhitungan individu'!$G402,Index!$I$15:$I$40)*Index!$E$7</f>
        <v>0</v>
      </c>
      <c r="N402" s="44">
        <f>SUMIF(Index!$K$15:$K$40,'perhitungan individu'!$G402,Index!$L$15:$L$40)*Index!$E$8</f>
        <v>0</v>
      </c>
      <c r="O402" s="44">
        <f>SUMIF(Index!$M$15:$M$40,'perhitungan individu'!H402,Index!$N$15:$N$40)*Index!$E$9</f>
        <v>0</v>
      </c>
      <c r="P402" s="44">
        <f>SUMIF('Kinera Unit Kerja'!$B$4:$B$20,'perhitungan individu'!$G402,'Kinera Unit Kerja'!$G$4:$G$20)*Index!$E$10</f>
        <v>0</v>
      </c>
      <c r="Q402" s="44">
        <f>I402*Index!$E$11</f>
        <v>0</v>
      </c>
      <c r="R402" s="47">
        <f t="shared" si="11"/>
        <v>0</v>
      </c>
      <c r="S402" s="48">
        <f t="shared" si="10"/>
        <v>0</v>
      </c>
    </row>
    <row r="403" spans="1:19">
      <c r="A403" s="42"/>
      <c r="B403" s="33"/>
      <c r="C403" s="33"/>
      <c r="D403" s="43"/>
      <c r="E403" s="33"/>
      <c r="F403" s="33"/>
      <c r="G403" s="33"/>
      <c r="H403" s="33"/>
      <c r="I403" s="33"/>
      <c r="J403" s="44">
        <f>(D403/100000)*Index!$E$4</f>
        <v>0</v>
      </c>
      <c r="K403" s="44">
        <f>SUMIF(Index!$C$15:$C$40,'perhitungan individu'!E403,Index!$D$15:$D$40)*Index!$E$5</f>
        <v>0</v>
      </c>
      <c r="L403" s="44">
        <f>SUMIF(Index!$E$15:$E$40,'perhitungan individu'!F403,Index!F$15:F$40)*Index!$E$6</f>
        <v>0</v>
      </c>
      <c r="M403" s="44">
        <f>SUMIF(Index!$H$15:$H$40,'perhitungan individu'!$G403,Index!$I$15:$I$40)*Index!$E$7</f>
        <v>0</v>
      </c>
      <c r="N403" s="44">
        <f>SUMIF(Index!$K$15:$K$40,'perhitungan individu'!$G403,Index!$L$15:$L$40)*Index!$E$8</f>
        <v>0</v>
      </c>
      <c r="O403" s="44">
        <f>SUMIF(Index!$M$15:$M$40,'perhitungan individu'!H403,Index!$N$15:$N$40)*Index!$E$9</f>
        <v>0</v>
      </c>
      <c r="P403" s="44">
        <f>SUMIF('Kinera Unit Kerja'!$B$4:$B$20,'perhitungan individu'!$G403,'Kinera Unit Kerja'!$G$4:$G$20)*Index!$E$10</f>
        <v>0</v>
      </c>
      <c r="Q403" s="44">
        <f>I403*Index!$E$11</f>
        <v>0</v>
      </c>
      <c r="R403" s="47">
        <f t="shared" si="11"/>
        <v>0</v>
      </c>
      <c r="S403" s="48">
        <f t="shared" si="10"/>
        <v>0</v>
      </c>
    </row>
    <row r="404" spans="1:19">
      <c r="A404" s="42"/>
      <c r="B404" s="33"/>
      <c r="C404" s="33"/>
      <c r="D404" s="43"/>
      <c r="E404" s="33"/>
      <c r="F404" s="33"/>
      <c r="G404" s="33"/>
      <c r="H404" s="33"/>
      <c r="I404" s="33"/>
      <c r="J404" s="44">
        <f>(D404/100000)*Index!$E$4</f>
        <v>0</v>
      </c>
      <c r="K404" s="44">
        <f>SUMIF(Index!$C$15:$C$40,'perhitungan individu'!E404,Index!$D$15:$D$40)*Index!$E$5</f>
        <v>0</v>
      </c>
      <c r="L404" s="44">
        <f>SUMIF(Index!$E$15:$E$40,'perhitungan individu'!F404,Index!F$15:F$40)*Index!$E$6</f>
        <v>0</v>
      </c>
      <c r="M404" s="44">
        <f>SUMIF(Index!$H$15:$H$40,'perhitungan individu'!$G404,Index!$I$15:$I$40)*Index!$E$7</f>
        <v>0</v>
      </c>
      <c r="N404" s="44">
        <f>SUMIF(Index!$K$15:$K$40,'perhitungan individu'!$G404,Index!$L$15:$L$40)*Index!$E$8</f>
        <v>0</v>
      </c>
      <c r="O404" s="44">
        <f>SUMIF(Index!$M$15:$M$40,'perhitungan individu'!H404,Index!$N$15:$N$40)*Index!$E$9</f>
        <v>0</v>
      </c>
      <c r="P404" s="44">
        <f>SUMIF('Kinera Unit Kerja'!$B$4:$B$20,'perhitungan individu'!$G404,'Kinera Unit Kerja'!$G$4:$G$20)*Index!$E$10</f>
        <v>0</v>
      </c>
      <c r="Q404" s="44">
        <f>I404*Index!$E$11</f>
        <v>0</v>
      </c>
      <c r="R404" s="47">
        <f t="shared" si="11"/>
        <v>0</v>
      </c>
      <c r="S404" s="48">
        <f t="shared" si="10"/>
        <v>0</v>
      </c>
    </row>
    <row r="405" spans="1:19">
      <c r="A405" s="42"/>
      <c r="B405" s="33"/>
      <c r="C405" s="33"/>
      <c r="D405" s="43"/>
      <c r="E405" s="33"/>
      <c r="F405" s="33"/>
      <c r="G405" s="33"/>
      <c r="H405" s="33"/>
      <c r="I405" s="33"/>
      <c r="J405" s="44">
        <f>(D405/100000)*Index!$E$4</f>
        <v>0</v>
      </c>
      <c r="K405" s="44">
        <f>SUMIF(Index!$C$15:$C$40,'perhitungan individu'!E405,Index!$D$15:$D$40)*Index!$E$5</f>
        <v>0</v>
      </c>
      <c r="L405" s="44">
        <f>SUMIF(Index!$E$15:$E$40,'perhitungan individu'!F405,Index!F$15:F$40)*Index!$E$6</f>
        <v>0</v>
      </c>
      <c r="M405" s="44">
        <f>SUMIF(Index!$H$15:$H$40,'perhitungan individu'!$G405,Index!$I$15:$I$40)*Index!$E$7</f>
        <v>0</v>
      </c>
      <c r="N405" s="44">
        <f>SUMIF(Index!$K$15:$K$40,'perhitungan individu'!$G405,Index!$L$15:$L$40)*Index!$E$8</f>
        <v>0</v>
      </c>
      <c r="O405" s="44">
        <f>SUMIF(Index!$M$15:$M$40,'perhitungan individu'!H405,Index!$N$15:$N$40)*Index!$E$9</f>
        <v>0</v>
      </c>
      <c r="P405" s="44">
        <f>SUMIF('Kinera Unit Kerja'!$B$4:$B$20,'perhitungan individu'!$G405,'Kinera Unit Kerja'!$G$4:$G$20)*Index!$E$10</f>
        <v>0</v>
      </c>
      <c r="Q405" s="44">
        <f>I405*Index!$E$11</f>
        <v>0</v>
      </c>
      <c r="R405" s="47">
        <f t="shared" si="11"/>
        <v>0</v>
      </c>
      <c r="S405" s="48">
        <f t="shared" si="10"/>
        <v>0</v>
      </c>
    </row>
    <row r="406" spans="1:19">
      <c r="A406" s="42"/>
      <c r="B406" s="33"/>
      <c r="C406" s="33"/>
      <c r="D406" s="43"/>
      <c r="E406" s="33"/>
      <c r="F406" s="33"/>
      <c r="G406" s="33"/>
      <c r="H406" s="33"/>
      <c r="I406" s="33"/>
      <c r="J406" s="44">
        <f>(D406/100000)*Index!$E$4</f>
        <v>0</v>
      </c>
      <c r="K406" s="44">
        <f>SUMIF(Index!$C$15:$C$40,'perhitungan individu'!E406,Index!$D$15:$D$40)*Index!$E$5</f>
        <v>0</v>
      </c>
      <c r="L406" s="44">
        <f>SUMIF(Index!$E$15:$E$40,'perhitungan individu'!F406,Index!F$15:F$40)*Index!$E$6</f>
        <v>0</v>
      </c>
      <c r="M406" s="44">
        <f>SUMIF(Index!$H$15:$H$40,'perhitungan individu'!$G406,Index!$I$15:$I$40)*Index!$E$7</f>
        <v>0</v>
      </c>
      <c r="N406" s="44">
        <f>SUMIF(Index!$K$15:$K$40,'perhitungan individu'!$G406,Index!$L$15:$L$40)*Index!$E$8</f>
        <v>0</v>
      </c>
      <c r="O406" s="44">
        <f>SUMIF(Index!$M$15:$M$40,'perhitungan individu'!H406,Index!$N$15:$N$40)*Index!$E$9</f>
        <v>0</v>
      </c>
      <c r="P406" s="44">
        <f>SUMIF('Kinera Unit Kerja'!$B$4:$B$20,'perhitungan individu'!$G406,'Kinera Unit Kerja'!$G$4:$G$20)*Index!$E$10</f>
        <v>0</v>
      </c>
      <c r="Q406" s="44">
        <f>I406*Index!$E$11</f>
        <v>0</v>
      </c>
      <c r="R406" s="47">
        <f t="shared" si="11"/>
        <v>0</v>
      </c>
      <c r="S406" s="48">
        <f t="shared" si="10"/>
        <v>0</v>
      </c>
    </row>
    <row r="407" spans="1:19">
      <c r="A407" s="42"/>
      <c r="B407" s="33"/>
      <c r="C407" s="33"/>
      <c r="D407" s="43"/>
      <c r="E407" s="33"/>
      <c r="F407" s="33"/>
      <c r="G407" s="33"/>
      <c r="H407" s="33"/>
      <c r="I407" s="33"/>
      <c r="J407" s="44">
        <f>(D407/100000)*Index!$E$4</f>
        <v>0</v>
      </c>
      <c r="K407" s="44">
        <f>SUMIF(Index!$C$15:$C$40,'perhitungan individu'!E407,Index!$D$15:$D$40)*Index!$E$5</f>
        <v>0</v>
      </c>
      <c r="L407" s="44">
        <f>SUMIF(Index!$E$15:$E$40,'perhitungan individu'!F407,Index!F$15:F$40)*Index!$E$6</f>
        <v>0</v>
      </c>
      <c r="M407" s="44">
        <f>SUMIF(Index!$H$15:$H$40,'perhitungan individu'!$G407,Index!$I$15:$I$40)*Index!$E$7</f>
        <v>0</v>
      </c>
      <c r="N407" s="44">
        <f>SUMIF(Index!$K$15:$K$40,'perhitungan individu'!$G407,Index!$L$15:$L$40)*Index!$E$8</f>
        <v>0</v>
      </c>
      <c r="O407" s="44">
        <f>SUMIF(Index!$M$15:$M$40,'perhitungan individu'!H407,Index!$N$15:$N$40)*Index!$E$9</f>
        <v>0</v>
      </c>
      <c r="P407" s="44">
        <f>SUMIF('Kinera Unit Kerja'!$B$4:$B$20,'perhitungan individu'!$G407,'Kinera Unit Kerja'!$G$4:$G$20)*Index!$E$10</f>
        <v>0</v>
      </c>
      <c r="Q407" s="44">
        <f>I407*Index!$E$11</f>
        <v>0</v>
      </c>
      <c r="R407" s="47">
        <f t="shared" si="11"/>
        <v>0</v>
      </c>
      <c r="S407" s="48">
        <f t="shared" si="10"/>
        <v>0</v>
      </c>
    </row>
    <row r="408" spans="1:19">
      <c r="A408" s="42"/>
      <c r="B408" s="33"/>
      <c r="C408" s="33"/>
      <c r="D408" s="43"/>
      <c r="E408" s="33"/>
      <c r="F408" s="33"/>
      <c r="G408" s="33"/>
      <c r="H408" s="33"/>
      <c r="I408" s="33"/>
      <c r="J408" s="44">
        <f>(D408/100000)*Index!$E$4</f>
        <v>0</v>
      </c>
      <c r="K408" s="44">
        <f>SUMIF(Index!$C$15:$C$40,'perhitungan individu'!E408,Index!$D$15:$D$40)*Index!$E$5</f>
        <v>0</v>
      </c>
      <c r="L408" s="44">
        <f>SUMIF(Index!$E$15:$E$40,'perhitungan individu'!F408,Index!F$15:F$40)*Index!$E$6</f>
        <v>0</v>
      </c>
      <c r="M408" s="44">
        <f>SUMIF(Index!$H$15:$H$40,'perhitungan individu'!$G408,Index!$I$15:$I$40)*Index!$E$7</f>
        <v>0</v>
      </c>
      <c r="N408" s="44">
        <f>SUMIF(Index!$K$15:$K$40,'perhitungan individu'!$G408,Index!$L$15:$L$40)*Index!$E$8</f>
        <v>0</v>
      </c>
      <c r="O408" s="44">
        <f>SUMIF(Index!$M$15:$M$40,'perhitungan individu'!H408,Index!$N$15:$N$40)*Index!$E$9</f>
        <v>0</v>
      </c>
      <c r="P408" s="44">
        <f>SUMIF('Kinera Unit Kerja'!$B$4:$B$20,'perhitungan individu'!$G408,'Kinera Unit Kerja'!$G$4:$G$20)*Index!$E$10</f>
        <v>0</v>
      </c>
      <c r="Q408" s="44">
        <f>I408*Index!$E$11</f>
        <v>0</v>
      </c>
      <c r="R408" s="47">
        <f t="shared" si="11"/>
        <v>0</v>
      </c>
      <c r="S408" s="48">
        <f t="shared" si="10"/>
        <v>0</v>
      </c>
    </row>
    <row r="409" spans="1:19">
      <c r="A409" s="42"/>
      <c r="B409" s="33"/>
      <c r="C409" s="33"/>
      <c r="D409" s="43"/>
      <c r="E409" s="33"/>
      <c r="F409" s="33"/>
      <c r="G409" s="33"/>
      <c r="H409" s="33"/>
      <c r="I409" s="33"/>
      <c r="J409" s="44">
        <f>(D409/100000)*Index!$E$4</f>
        <v>0</v>
      </c>
      <c r="K409" s="44">
        <f>SUMIF(Index!$C$15:$C$40,'perhitungan individu'!E409,Index!$D$15:$D$40)*Index!$E$5</f>
        <v>0</v>
      </c>
      <c r="L409" s="44">
        <f>SUMIF(Index!$E$15:$E$40,'perhitungan individu'!F409,Index!F$15:F$40)*Index!$E$6</f>
        <v>0</v>
      </c>
      <c r="M409" s="44">
        <f>SUMIF(Index!$H$15:$H$40,'perhitungan individu'!$G409,Index!$I$15:$I$40)*Index!$E$7</f>
        <v>0</v>
      </c>
      <c r="N409" s="44">
        <f>SUMIF(Index!$K$15:$K$40,'perhitungan individu'!$G409,Index!$L$15:$L$40)*Index!$E$8</f>
        <v>0</v>
      </c>
      <c r="O409" s="44">
        <f>SUMIF(Index!$M$15:$M$40,'perhitungan individu'!H409,Index!$N$15:$N$40)*Index!$E$9</f>
        <v>0</v>
      </c>
      <c r="P409" s="44">
        <f>SUMIF('Kinera Unit Kerja'!$B$4:$B$20,'perhitungan individu'!$G409,'Kinera Unit Kerja'!$G$4:$G$20)*Index!$E$10</f>
        <v>0</v>
      </c>
      <c r="Q409" s="44">
        <f>I409*Index!$E$11</f>
        <v>0</v>
      </c>
      <c r="R409" s="47">
        <f t="shared" si="11"/>
        <v>0</v>
      </c>
      <c r="S409" s="48">
        <f t="shared" si="10"/>
        <v>0</v>
      </c>
    </row>
    <row r="410" spans="1:19">
      <c r="A410" s="42"/>
      <c r="B410" s="33"/>
      <c r="C410" s="33"/>
      <c r="D410" s="43"/>
      <c r="E410" s="33"/>
      <c r="F410" s="33"/>
      <c r="G410" s="33"/>
      <c r="H410" s="33"/>
      <c r="I410" s="33"/>
      <c r="J410" s="44">
        <f>(D410/100000)*Index!$E$4</f>
        <v>0</v>
      </c>
      <c r="K410" s="44">
        <f>SUMIF(Index!$C$15:$C$40,'perhitungan individu'!E410,Index!$D$15:$D$40)*Index!$E$5</f>
        <v>0</v>
      </c>
      <c r="L410" s="44">
        <f>SUMIF(Index!$E$15:$E$40,'perhitungan individu'!F410,Index!F$15:F$40)*Index!$E$6</f>
        <v>0</v>
      </c>
      <c r="M410" s="44">
        <f>SUMIF(Index!$H$15:$H$40,'perhitungan individu'!$G410,Index!$I$15:$I$40)*Index!$E$7</f>
        <v>0</v>
      </c>
      <c r="N410" s="44">
        <f>SUMIF(Index!$K$15:$K$40,'perhitungan individu'!$G410,Index!$L$15:$L$40)*Index!$E$8</f>
        <v>0</v>
      </c>
      <c r="O410" s="44">
        <f>SUMIF(Index!$M$15:$M$40,'perhitungan individu'!H410,Index!$N$15:$N$40)*Index!$E$9</f>
        <v>0</v>
      </c>
      <c r="P410" s="44">
        <f>SUMIF('Kinera Unit Kerja'!$B$4:$B$20,'perhitungan individu'!$G410,'Kinera Unit Kerja'!$G$4:$G$20)*Index!$E$10</f>
        <v>0</v>
      </c>
      <c r="Q410" s="44">
        <f>I410*Index!$E$11</f>
        <v>0</v>
      </c>
      <c r="R410" s="47">
        <f t="shared" si="11"/>
        <v>0</v>
      </c>
      <c r="S410" s="48">
        <f t="shared" si="10"/>
        <v>0</v>
      </c>
    </row>
    <row r="411" spans="1:19">
      <c r="A411" s="42"/>
      <c r="B411" s="33"/>
      <c r="C411" s="33"/>
      <c r="D411" s="43"/>
      <c r="E411" s="33"/>
      <c r="F411" s="33"/>
      <c r="G411" s="33"/>
      <c r="H411" s="33"/>
      <c r="I411" s="33"/>
      <c r="J411" s="44">
        <f>(D411/100000)*Index!$E$4</f>
        <v>0</v>
      </c>
      <c r="K411" s="44">
        <f>SUMIF(Index!$C$15:$C$40,'perhitungan individu'!E411,Index!$D$15:$D$40)*Index!$E$5</f>
        <v>0</v>
      </c>
      <c r="L411" s="44">
        <f>SUMIF(Index!$E$15:$E$40,'perhitungan individu'!F411,Index!F$15:F$40)*Index!$E$6</f>
        <v>0</v>
      </c>
      <c r="M411" s="44">
        <f>SUMIF(Index!$H$15:$H$40,'perhitungan individu'!$G411,Index!$I$15:$I$40)*Index!$E$7</f>
        <v>0</v>
      </c>
      <c r="N411" s="44">
        <f>SUMIF(Index!$K$15:$K$40,'perhitungan individu'!$G411,Index!$L$15:$L$40)*Index!$E$8</f>
        <v>0</v>
      </c>
      <c r="O411" s="44">
        <f>SUMIF(Index!$M$15:$M$40,'perhitungan individu'!H411,Index!$N$15:$N$40)*Index!$E$9</f>
        <v>0</v>
      </c>
      <c r="P411" s="44">
        <f>SUMIF('Kinera Unit Kerja'!$B$4:$B$20,'perhitungan individu'!$G411,'Kinera Unit Kerja'!$G$4:$G$20)*Index!$E$10</f>
        <v>0</v>
      </c>
      <c r="Q411" s="44">
        <f>I411*Index!$E$11</f>
        <v>0</v>
      </c>
      <c r="R411" s="47">
        <f t="shared" si="11"/>
        <v>0</v>
      </c>
      <c r="S411" s="48">
        <f t="shared" si="10"/>
        <v>0</v>
      </c>
    </row>
    <row r="412" spans="1:19">
      <c r="A412" s="42"/>
      <c r="B412" s="33"/>
      <c r="C412" s="33"/>
      <c r="D412" s="43"/>
      <c r="E412" s="33"/>
      <c r="F412" s="33"/>
      <c r="G412" s="33"/>
      <c r="H412" s="33"/>
      <c r="I412" s="33"/>
      <c r="J412" s="44">
        <f>(D412/100000)*Index!$E$4</f>
        <v>0</v>
      </c>
      <c r="K412" s="44">
        <f>SUMIF(Index!$C$15:$C$40,'perhitungan individu'!E412,Index!$D$15:$D$40)*Index!$E$5</f>
        <v>0</v>
      </c>
      <c r="L412" s="44">
        <f>SUMIF(Index!$E$15:$E$40,'perhitungan individu'!F412,Index!F$15:F$40)*Index!$E$6</f>
        <v>0</v>
      </c>
      <c r="M412" s="44">
        <f>SUMIF(Index!$H$15:$H$40,'perhitungan individu'!$G412,Index!$I$15:$I$40)*Index!$E$7</f>
        <v>0</v>
      </c>
      <c r="N412" s="44">
        <f>SUMIF(Index!$K$15:$K$40,'perhitungan individu'!$G412,Index!$L$15:$L$40)*Index!$E$8</f>
        <v>0</v>
      </c>
      <c r="O412" s="44">
        <f>SUMIF(Index!$M$15:$M$40,'perhitungan individu'!H412,Index!$N$15:$N$40)*Index!$E$9</f>
        <v>0</v>
      </c>
      <c r="P412" s="44">
        <f>SUMIF('Kinera Unit Kerja'!$B$4:$B$20,'perhitungan individu'!$G412,'Kinera Unit Kerja'!$G$4:$G$20)*Index!$E$10</f>
        <v>0</v>
      </c>
      <c r="Q412" s="44">
        <f>I412*Index!$E$11</f>
        <v>0</v>
      </c>
      <c r="R412" s="47">
        <f t="shared" si="11"/>
        <v>0</v>
      </c>
      <c r="S412" s="48">
        <f t="shared" si="10"/>
        <v>0</v>
      </c>
    </row>
    <row r="413" spans="1:19">
      <c r="A413" s="42"/>
      <c r="B413" s="33"/>
      <c r="C413" s="33"/>
      <c r="D413" s="43"/>
      <c r="E413" s="33"/>
      <c r="F413" s="33"/>
      <c r="G413" s="33"/>
      <c r="H413" s="33"/>
      <c r="I413" s="33"/>
      <c r="J413" s="44">
        <f>(D413/100000)*Index!$E$4</f>
        <v>0</v>
      </c>
      <c r="K413" s="44">
        <f>SUMIF(Index!$C$15:$C$40,'perhitungan individu'!E413,Index!$D$15:$D$40)*Index!$E$5</f>
        <v>0</v>
      </c>
      <c r="L413" s="44">
        <f>SUMIF(Index!$E$15:$E$40,'perhitungan individu'!F413,Index!F$15:F$40)*Index!$E$6</f>
        <v>0</v>
      </c>
      <c r="M413" s="44">
        <f>SUMIF(Index!$H$15:$H$40,'perhitungan individu'!$G413,Index!$I$15:$I$40)*Index!$E$7</f>
        <v>0</v>
      </c>
      <c r="N413" s="44">
        <f>SUMIF(Index!$K$15:$K$40,'perhitungan individu'!$G413,Index!$L$15:$L$40)*Index!$E$8</f>
        <v>0</v>
      </c>
      <c r="O413" s="44">
        <f>SUMIF(Index!$M$15:$M$40,'perhitungan individu'!H413,Index!$N$15:$N$40)*Index!$E$9</f>
        <v>0</v>
      </c>
      <c r="P413" s="44">
        <f>SUMIF('Kinera Unit Kerja'!$B$4:$B$20,'perhitungan individu'!$G413,'Kinera Unit Kerja'!$G$4:$G$20)*Index!$E$10</f>
        <v>0</v>
      </c>
      <c r="Q413" s="44">
        <f>I413*Index!$E$11</f>
        <v>0</v>
      </c>
      <c r="R413" s="47">
        <f t="shared" si="11"/>
        <v>0</v>
      </c>
      <c r="S413" s="48">
        <f t="shared" si="10"/>
        <v>0</v>
      </c>
    </row>
    <row r="414" spans="1:19">
      <c r="A414" s="42"/>
      <c r="B414" s="33"/>
      <c r="C414" s="33"/>
      <c r="D414" s="43"/>
      <c r="E414" s="33"/>
      <c r="F414" s="33"/>
      <c r="G414" s="33"/>
      <c r="H414" s="33"/>
      <c r="I414" s="33"/>
      <c r="J414" s="44">
        <f>(D414/100000)*Index!$E$4</f>
        <v>0</v>
      </c>
      <c r="K414" s="44">
        <f>SUMIF(Index!$C$15:$C$40,'perhitungan individu'!E414,Index!$D$15:$D$40)*Index!$E$5</f>
        <v>0</v>
      </c>
      <c r="L414" s="44">
        <f>SUMIF(Index!$E$15:$E$40,'perhitungan individu'!F414,Index!F$15:F$40)*Index!$E$6</f>
        <v>0</v>
      </c>
      <c r="M414" s="44">
        <f>SUMIF(Index!$H$15:$H$40,'perhitungan individu'!$G414,Index!$I$15:$I$40)*Index!$E$7</f>
        <v>0</v>
      </c>
      <c r="N414" s="44">
        <f>SUMIF(Index!$K$15:$K$40,'perhitungan individu'!$G414,Index!$L$15:$L$40)*Index!$E$8</f>
        <v>0</v>
      </c>
      <c r="O414" s="44">
        <f>SUMIF(Index!$M$15:$M$40,'perhitungan individu'!H414,Index!$N$15:$N$40)*Index!$E$9</f>
        <v>0</v>
      </c>
      <c r="P414" s="44">
        <f>SUMIF('Kinera Unit Kerja'!$B$4:$B$20,'perhitungan individu'!$G414,'Kinera Unit Kerja'!$G$4:$G$20)*Index!$E$10</f>
        <v>0</v>
      </c>
      <c r="Q414" s="44">
        <f>I414*Index!$E$11</f>
        <v>0</v>
      </c>
      <c r="R414" s="47">
        <f t="shared" si="11"/>
        <v>0</v>
      </c>
      <c r="S414" s="48">
        <f t="shared" si="10"/>
        <v>0</v>
      </c>
    </row>
    <row r="415" spans="1:19">
      <c r="A415" s="42"/>
      <c r="B415" s="33"/>
      <c r="C415" s="33"/>
      <c r="D415" s="43"/>
      <c r="E415" s="33"/>
      <c r="F415" s="33"/>
      <c r="G415" s="33"/>
      <c r="H415" s="33"/>
      <c r="I415" s="33"/>
      <c r="J415" s="44">
        <f>(D415/100000)*Index!$E$4</f>
        <v>0</v>
      </c>
      <c r="K415" s="44">
        <f>SUMIF(Index!$C$15:$C$40,'perhitungan individu'!E415,Index!$D$15:$D$40)*Index!$E$5</f>
        <v>0</v>
      </c>
      <c r="L415" s="44">
        <f>SUMIF(Index!$E$15:$E$40,'perhitungan individu'!F415,Index!F$15:F$40)*Index!$E$6</f>
        <v>0</v>
      </c>
      <c r="M415" s="44">
        <f>SUMIF(Index!$H$15:$H$40,'perhitungan individu'!$G415,Index!$I$15:$I$40)*Index!$E$7</f>
        <v>0</v>
      </c>
      <c r="N415" s="44">
        <f>SUMIF(Index!$K$15:$K$40,'perhitungan individu'!$G415,Index!$L$15:$L$40)*Index!$E$8</f>
        <v>0</v>
      </c>
      <c r="O415" s="44">
        <f>SUMIF(Index!$M$15:$M$40,'perhitungan individu'!H415,Index!$N$15:$N$40)*Index!$E$9</f>
        <v>0</v>
      </c>
      <c r="P415" s="44">
        <f>SUMIF('Kinera Unit Kerja'!$B$4:$B$20,'perhitungan individu'!$G415,'Kinera Unit Kerja'!$G$4:$G$20)*Index!$E$10</f>
        <v>0</v>
      </c>
      <c r="Q415" s="44">
        <f>I415*Index!$E$11</f>
        <v>0</v>
      </c>
      <c r="R415" s="47">
        <f t="shared" si="11"/>
        <v>0</v>
      </c>
      <c r="S415" s="48">
        <f t="shared" si="10"/>
        <v>0</v>
      </c>
    </row>
    <row r="416" spans="1:19">
      <c r="A416" s="42"/>
      <c r="B416" s="33"/>
      <c r="C416" s="33"/>
      <c r="D416" s="43"/>
      <c r="E416" s="33"/>
      <c r="F416" s="33"/>
      <c r="G416" s="33"/>
      <c r="H416" s="33"/>
      <c r="I416" s="33"/>
      <c r="J416" s="44">
        <f>(D416/100000)*Index!$E$4</f>
        <v>0</v>
      </c>
      <c r="K416" s="44">
        <f>SUMIF(Index!$C$15:$C$40,'perhitungan individu'!E416,Index!$D$15:$D$40)*Index!$E$5</f>
        <v>0</v>
      </c>
      <c r="L416" s="44">
        <f>SUMIF(Index!$E$15:$E$40,'perhitungan individu'!F416,Index!F$15:F$40)*Index!$E$6</f>
        <v>0</v>
      </c>
      <c r="M416" s="44">
        <f>SUMIF(Index!$H$15:$H$40,'perhitungan individu'!$G416,Index!$I$15:$I$40)*Index!$E$7</f>
        <v>0</v>
      </c>
      <c r="N416" s="44">
        <f>SUMIF(Index!$K$15:$K$40,'perhitungan individu'!$G416,Index!$L$15:$L$40)*Index!$E$8</f>
        <v>0</v>
      </c>
      <c r="O416" s="44">
        <f>SUMIF(Index!$M$15:$M$40,'perhitungan individu'!H416,Index!$N$15:$N$40)*Index!$E$9</f>
        <v>0</v>
      </c>
      <c r="P416" s="44">
        <f>SUMIF('Kinera Unit Kerja'!$B$4:$B$20,'perhitungan individu'!$G416,'Kinera Unit Kerja'!$G$4:$G$20)*Index!$E$10</f>
        <v>0</v>
      </c>
      <c r="Q416" s="44">
        <f>I416*Index!$E$11</f>
        <v>0</v>
      </c>
      <c r="R416" s="47">
        <f t="shared" si="11"/>
        <v>0</v>
      </c>
      <c r="S416" s="48">
        <f t="shared" ref="S416:S479" si="12">$B$29/$R$29*$R416</f>
        <v>0</v>
      </c>
    </row>
    <row r="417" spans="1:19">
      <c r="A417" s="42"/>
      <c r="B417" s="33"/>
      <c r="C417" s="33"/>
      <c r="D417" s="43"/>
      <c r="E417" s="33"/>
      <c r="F417" s="33"/>
      <c r="G417" s="33"/>
      <c r="H417" s="33"/>
      <c r="I417" s="33"/>
      <c r="J417" s="44">
        <f>(D417/100000)*Index!$E$4</f>
        <v>0</v>
      </c>
      <c r="K417" s="44">
        <f>SUMIF(Index!$C$15:$C$40,'perhitungan individu'!E417,Index!$D$15:$D$40)*Index!$E$5</f>
        <v>0</v>
      </c>
      <c r="L417" s="44">
        <f>SUMIF(Index!$E$15:$E$40,'perhitungan individu'!F417,Index!F$15:F$40)*Index!$E$6</f>
        <v>0</v>
      </c>
      <c r="M417" s="44">
        <f>SUMIF(Index!$H$15:$H$40,'perhitungan individu'!$G417,Index!$I$15:$I$40)*Index!$E$7</f>
        <v>0</v>
      </c>
      <c r="N417" s="44">
        <f>SUMIF(Index!$K$15:$K$40,'perhitungan individu'!$G417,Index!$L$15:$L$40)*Index!$E$8</f>
        <v>0</v>
      </c>
      <c r="O417" s="44">
        <f>SUMIF(Index!$M$15:$M$40,'perhitungan individu'!H417,Index!$N$15:$N$40)*Index!$E$9</f>
        <v>0</v>
      </c>
      <c r="P417" s="44">
        <f>SUMIF('Kinera Unit Kerja'!$B$4:$B$20,'perhitungan individu'!$G417,'Kinera Unit Kerja'!$G$4:$G$20)*Index!$E$10</f>
        <v>0</v>
      </c>
      <c r="Q417" s="44">
        <f>I417*Index!$E$11</f>
        <v>0</v>
      </c>
      <c r="R417" s="47">
        <f t="shared" si="11"/>
        <v>0</v>
      </c>
      <c r="S417" s="48">
        <f t="shared" si="12"/>
        <v>0</v>
      </c>
    </row>
    <row r="418" spans="1:19">
      <c r="A418" s="42"/>
      <c r="B418" s="33"/>
      <c r="C418" s="33"/>
      <c r="D418" s="43"/>
      <c r="E418" s="33"/>
      <c r="F418" s="33"/>
      <c r="G418" s="33"/>
      <c r="H418" s="33"/>
      <c r="I418" s="33"/>
      <c r="J418" s="44">
        <f>(D418/100000)*Index!$E$4</f>
        <v>0</v>
      </c>
      <c r="K418" s="44">
        <f>SUMIF(Index!$C$15:$C$40,'perhitungan individu'!E418,Index!$D$15:$D$40)*Index!$E$5</f>
        <v>0</v>
      </c>
      <c r="L418" s="44">
        <f>SUMIF(Index!$E$15:$E$40,'perhitungan individu'!F418,Index!F$15:F$40)*Index!$E$6</f>
        <v>0</v>
      </c>
      <c r="M418" s="44">
        <f>SUMIF(Index!$H$15:$H$40,'perhitungan individu'!$G418,Index!$I$15:$I$40)*Index!$E$7</f>
        <v>0</v>
      </c>
      <c r="N418" s="44">
        <f>SUMIF(Index!$K$15:$K$40,'perhitungan individu'!$G418,Index!$L$15:$L$40)*Index!$E$8</f>
        <v>0</v>
      </c>
      <c r="O418" s="44">
        <f>SUMIF(Index!$M$15:$M$40,'perhitungan individu'!H418,Index!$N$15:$N$40)*Index!$E$9</f>
        <v>0</v>
      </c>
      <c r="P418" s="44">
        <f>SUMIF('Kinera Unit Kerja'!$B$4:$B$20,'perhitungan individu'!$G418,'Kinera Unit Kerja'!$G$4:$G$20)*Index!$E$10</f>
        <v>0</v>
      </c>
      <c r="Q418" s="44">
        <f>I418*Index!$E$11</f>
        <v>0</v>
      </c>
      <c r="R418" s="47">
        <f t="shared" si="11"/>
        <v>0</v>
      </c>
      <c r="S418" s="48">
        <f t="shared" si="12"/>
        <v>0</v>
      </c>
    </row>
    <row r="419" spans="1:19">
      <c r="A419" s="42"/>
      <c r="B419" s="33"/>
      <c r="C419" s="33"/>
      <c r="D419" s="43"/>
      <c r="E419" s="33"/>
      <c r="F419" s="33"/>
      <c r="G419" s="33"/>
      <c r="H419" s="33"/>
      <c r="I419" s="33"/>
      <c r="J419" s="44">
        <f>(D419/100000)*Index!$E$4</f>
        <v>0</v>
      </c>
      <c r="K419" s="44">
        <f>SUMIF(Index!$C$15:$C$40,'perhitungan individu'!E419,Index!$D$15:$D$40)*Index!$E$5</f>
        <v>0</v>
      </c>
      <c r="L419" s="44">
        <f>SUMIF(Index!$E$15:$E$40,'perhitungan individu'!F419,Index!F$15:F$40)*Index!$E$6</f>
        <v>0</v>
      </c>
      <c r="M419" s="44">
        <f>SUMIF(Index!$H$15:$H$40,'perhitungan individu'!$G419,Index!$I$15:$I$40)*Index!$E$7</f>
        <v>0</v>
      </c>
      <c r="N419" s="44">
        <f>SUMIF(Index!$K$15:$K$40,'perhitungan individu'!$G419,Index!$L$15:$L$40)*Index!$E$8</f>
        <v>0</v>
      </c>
      <c r="O419" s="44">
        <f>SUMIF(Index!$M$15:$M$40,'perhitungan individu'!H419,Index!$N$15:$N$40)*Index!$E$9</f>
        <v>0</v>
      </c>
      <c r="P419" s="44">
        <f>SUMIF('Kinera Unit Kerja'!$B$4:$B$20,'perhitungan individu'!$G419,'Kinera Unit Kerja'!$G$4:$G$20)*Index!$E$10</f>
        <v>0</v>
      </c>
      <c r="Q419" s="44">
        <f>I419*Index!$E$11</f>
        <v>0</v>
      </c>
      <c r="R419" s="47">
        <f t="shared" ref="R419:R482" si="13">SUM(J419:Q419)</f>
        <v>0</v>
      </c>
      <c r="S419" s="48">
        <f t="shared" si="12"/>
        <v>0</v>
      </c>
    </row>
    <row r="420" spans="1:19">
      <c r="A420" s="42"/>
      <c r="B420" s="33"/>
      <c r="C420" s="33"/>
      <c r="D420" s="43"/>
      <c r="E420" s="33"/>
      <c r="F420" s="33"/>
      <c r="G420" s="33"/>
      <c r="H420" s="33"/>
      <c r="I420" s="33"/>
      <c r="J420" s="44">
        <f>(D420/100000)*Index!$E$4</f>
        <v>0</v>
      </c>
      <c r="K420" s="44">
        <f>SUMIF(Index!$C$15:$C$40,'perhitungan individu'!E420,Index!$D$15:$D$40)*Index!$E$5</f>
        <v>0</v>
      </c>
      <c r="L420" s="44">
        <f>SUMIF(Index!$E$15:$E$40,'perhitungan individu'!F420,Index!F$15:F$40)*Index!$E$6</f>
        <v>0</v>
      </c>
      <c r="M420" s="44">
        <f>SUMIF(Index!$H$15:$H$40,'perhitungan individu'!$G420,Index!$I$15:$I$40)*Index!$E$7</f>
        <v>0</v>
      </c>
      <c r="N420" s="44">
        <f>SUMIF(Index!$K$15:$K$40,'perhitungan individu'!$G420,Index!$L$15:$L$40)*Index!$E$8</f>
        <v>0</v>
      </c>
      <c r="O420" s="44">
        <f>SUMIF(Index!$M$15:$M$40,'perhitungan individu'!H420,Index!$N$15:$N$40)*Index!$E$9</f>
        <v>0</v>
      </c>
      <c r="P420" s="44">
        <f>SUMIF('Kinera Unit Kerja'!$B$4:$B$20,'perhitungan individu'!$G420,'Kinera Unit Kerja'!$G$4:$G$20)*Index!$E$10</f>
        <v>0</v>
      </c>
      <c r="Q420" s="44">
        <f>I420*Index!$E$11</f>
        <v>0</v>
      </c>
      <c r="R420" s="47">
        <f t="shared" si="13"/>
        <v>0</v>
      </c>
      <c r="S420" s="48">
        <f t="shared" si="12"/>
        <v>0</v>
      </c>
    </row>
    <row r="421" spans="1:19">
      <c r="A421" s="42"/>
      <c r="B421" s="33"/>
      <c r="C421" s="33"/>
      <c r="D421" s="43"/>
      <c r="E421" s="33"/>
      <c r="F421" s="33"/>
      <c r="G421" s="33"/>
      <c r="H421" s="33"/>
      <c r="I421" s="33"/>
      <c r="J421" s="44">
        <f>(D421/100000)*Index!$E$4</f>
        <v>0</v>
      </c>
      <c r="K421" s="44">
        <f>SUMIF(Index!$C$15:$C$40,'perhitungan individu'!E421,Index!$D$15:$D$40)*Index!$E$5</f>
        <v>0</v>
      </c>
      <c r="L421" s="44">
        <f>SUMIF(Index!$E$15:$E$40,'perhitungan individu'!F421,Index!F$15:F$40)*Index!$E$6</f>
        <v>0</v>
      </c>
      <c r="M421" s="44">
        <f>SUMIF(Index!$H$15:$H$40,'perhitungan individu'!$G421,Index!$I$15:$I$40)*Index!$E$7</f>
        <v>0</v>
      </c>
      <c r="N421" s="44">
        <f>SUMIF(Index!$K$15:$K$40,'perhitungan individu'!$G421,Index!$L$15:$L$40)*Index!$E$8</f>
        <v>0</v>
      </c>
      <c r="O421" s="44">
        <f>SUMIF(Index!$M$15:$M$40,'perhitungan individu'!H421,Index!$N$15:$N$40)*Index!$E$9</f>
        <v>0</v>
      </c>
      <c r="P421" s="44">
        <f>SUMIF('Kinera Unit Kerja'!$B$4:$B$20,'perhitungan individu'!$G421,'Kinera Unit Kerja'!$G$4:$G$20)*Index!$E$10</f>
        <v>0</v>
      </c>
      <c r="Q421" s="44">
        <f>I421*Index!$E$11</f>
        <v>0</v>
      </c>
      <c r="R421" s="47">
        <f t="shared" si="13"/>
        <v>0</v>
      </c>
      <c r="S421" s="48">
        <f t="shared" si="12"/>
        <v>0</v>
      </c>
    </row>
    <row r="422" spans="1:19">
      <c r="A422" s="42"/>
      <c r="B422" s="33"/>
      <c r="C422" s="33"/>
      <c r="D422" s="43"/>
      <c r="E422" s="33"/>
      <c r="F422" s="33"/>
      <c r="G422" s="33"/>
      <c r="H422" s="33"/>
      <c r="I422" s="33"/>
      <c r="J422" s="44">
        <f>(D422/100000)*Index!$E$4</f>
        <v>0</v>
      </c>
      <c r="K422" s="44">
        <f>SUMIF(Index!$C$15:$C$40,'perhitungan individu'!E422,Index!$D$15:$D$40)*Index!$E$5</f>
        <v>0</v>
      </c>
      <c r="L422" s="44">
        <f>SUMIF(Index!$E$15:$E$40,'perhitungan individu'!F422,Index!F$15:F$40)*Index!$E$6</f>
        <v>0</v>
      </c>
      <c r="M422" s="44">
        <f>SUMIF(Index!$H$15:$H$40,'perhitungan individu'!$G422,Index!$I$15:$I$40)*Index!$E$7</f>
        <v>0</v>
      </c>
      <c r="N422" s="44">
        <f>SUMIF(Index!$K$15:$K$40,'perhitungan individu'!$G422,Index!$L$15:$L$40)*Index!$E$8</f>
        <v>0</v>
      </c>
      <c r="O422" s="44">
        <f>SUMIF(Index!$M$15:$M$40,'perhitungan individu'!H422,Index!$N$15:$N$40)*Index!$E$9</f>
        <v>0</v>
      </c>
      <c r="P422" s="44">
        <f>SUMIF('Kinera Unit Kerja'!$B$4:$B$20,'perhitungan individu'!$G422,'Kinera Unit Kerja'!$G$4:$G$20)*Index!$E$10</f>
        <v>0</v>
      </c>
      <c r="Q422" s="44">
        <f>I422*Index!$E$11</f>
        <v>0</v>
      </c>
      <c r="R422" s="47">
        <f t="shared" si="13"/>
        <v>0</v>
      </c>
      <c r="S422" s="48">
        <f t="shared" si="12"/>
        <v>0</v>
      </c>
    </row>
    <row r="423" spans="1:19">
      <c r="A423" s="42"/>
      <c r="B423" s="33"/>
      <c r="C423" s="33"/>
      <c r="D423" s="43"/>
      <c r="E423" s="33"/>
      <c r="F423" s="33"/>
      <c r="G423" s="33"/>
      <c r="H423" s="33"/>
      <c r="I423" s="33"/>
      <c r="J423" s="44">
        <f>(D423/100000)*Index!$E$4</f>
        <v>0</v>
      </c>
      <c r="K423" s="44">
        <f>SUMIF(Index!$C$15:$C$40,'perhitungan individu'!E423,Index!$D$15:$D$40)*Index!$E$5</f>
        <v>0</v>
      </c>
      <c r="L423" s="44">
        <f>SUMIF(Index!$E$15:$E$40,'perhitungan individu'!F423,Index!F$15:F$40)*Index!$E$6</f>
        <v>0</v>
      </c>
      <c r="M423" s="44">
        <f>SUMIF(Index!$H$15:$H$40,'perhitungan individu'!$G423,Index!$I$15:$I$40)*Index!$E$7</f>
        <v>0</v>
      </c>
      <c r="N423" s="44">
        <f>SUMIF(Index!$K$15:$K$40,'perhitungan individu'!$G423,Index!$L$15:$L$40)*Index!$E$8</f>
        <v>0</v>
      </c>
      <c r="O423" s="44">
        <f>SUMIF(Index!$M$15:$M$40,'perhitungan individu'!H423,Index!$N$15:$N$40)*Index!$E$9</f>
        <v>0</v>
      </c>
      <c r="P423" s="44">
        <f>SUMIF('Kinera Unit Kerja'!$B$4:$B$20,'perhitungan individu'!$G423,'Kinera Unit Kerja'!$G$4:$G$20)*Index!$E$10</f>
        <v>0</v>
      </c>
      <c r="Q423" s="44">
        <f>I423*Index!$E$11</f>
        <v>0</v>
      </c>
      <c r="R423" s="47">
        <f t="shared" si="13"/>
        <v>0</v>
      </c>
      <c r="S423" s="48">
        <f t="shared" si="12"/>
        <v>0</v>
      </c>
    </row>
    <row r="424" spans="1:19">
      <c r="A424" s="42"/>
      <c r="B424" s="33"/>
      <c r="C424" s="33"/>
      <c r="D424" s="43"/>
      <c r="E424" s="33"/>
      <c r="F424" s="33"/>
      <c r="G424" s="33"/>
      <c r="H424" s="33"/>
      <c r="I424" s="33"/>
      <c r="J424" s="44">
        <f>(D424/100000)*Index!$E$4</f>
        <v>0</v>
      </c>
      <c r="K424" s="44">
        <f>SUMIF(Index!$C$15:$C$40,'perhitungan individu'!E424,Index!$D$15:$D$40)*Index!$E$5</f>
        <v>0</v>
      </c>
      <c r="L424" s="44">
        <f>SUMIF(Index!$E$15:$E$40,'perhitungan individu'!F424,Index!F$15:F$40)*Index!$E$6</f>
        <v>0</v>
      </c>
      <c r="M424" s="44">
        <f>SUMIF(Index!$H$15:$H$40,'perhitungan individu'!$G424,Index!$I$15:$I$40)*Index!$E$7</f>
        <v>0</v>
      </c>
      <c r="N424" s="44">
        <f>SUMIF(Index!$K$15:$K$40,'perhitungan individu'!$G424,Index!$L$15:$L$40)*Index!$E$8</f>
        <v>0</v>
      </c>
      <c r="O424" s="44">
        <f>SUMIF(Index!$M$15:$M$40,'perhitungan individu'!H424,Index!$N$15:$N$40)*Index!$E$9</f>
        <v>0</v>
      </c>
      <c r="P424" s="44">
        <f>SUMIF('Kinera Unit Kerja'!$B$4:$B$20,'perhitungan individu'!$G424,'Kinera Unit Kerja'!$G$4:$G$20)*Index!$E$10</f>
        <v>0</v>
      </c>
      <c r="Q424" s="44">
        <f>I424*Index!$E$11</f>
        <v>0</v>
      </c>
      <c r="R424" s="47">
        <f t="shared" si="13"/>
        <v>0</v>
      </c>
      <c r="S424" s="48">
        <f t="shared" si="12"/>
        <v>0</v>
      </c>
    </row>
    <row r="425" spans="1:19">
      <c r="A425" s="42"/>
      <c r="B425" s="33"/>
      <c r="C425" s="33"/>
      <c r="D425" s="43"/>
      <c r="E425" s="33"/>
      <c r="F425" s="33"/>
      <c r="G425" s="33"/>
      <c r="H425" s="33"/>
      <c r="I425" s="33"/>
      <c r="J425" s="44">
        <f>(D425/100000)*Index!$E$4</f>
        <v>0</v>
      </c>
      <c r="K425" s="44">
        <f>SUMIF(Index!$C$15:$C$40,'perhitungan individu'!E425,Index!$D$15:$D$40)*Index!$E$5</f>
        <v>0</v>
      </c>
      <c r="L425" s="44">
        <f>SUMIF(Index!$E$15:$E$40,'perhitungan individu'!F425,Index!F$15:F$40)*Index!$E$6</f>
        <v>0</v>
      </c>
      <c r="M425" s="44">
        <f>SUMIF(Index!$H$15:$H$40,'perhitungan individu'!$G425,Index!$I$15:$I$40)*Index!$E$7</f>
        <v>0</v>
      </c>
      <c r="N425" s="44">
        <f>SUMIF(Index!$K$15:$K$40,'perhitungan individu'!$G425,Index!$L$15:$L$40)*Index!$E$8</f>
        <v>0</v>
      </c>
      <c r="O425" s="44">
        <f>SUMIF(Index!$M$15:$M$40,'perhitungan individu'!H425,Index!$N$15:$N$40)*Index!$E$9</f>
        <v>0</v>
      </c>
      <c r="P425" s="44">
        <f>SUMIF('Kinera Unit Kerja'!$B$4:$B$20,'perhitungan individu'!$G425,'Kinera Unit Kerja'!$G$4:$G$20)*Index!$E$10</f>
        <v>0</v>
      </c>
      <c r="Q425" s="44">
        <f>I425*Index!$E$11</f>
        <v>0</v>
      </c>
      <c r="R425" s="47">
        <f t="shared" si="13"/>
        <v>0</v>
      </c>
      <c r="S425" s="48">
        <f t="shared" si="12"/>
        <v>0</v>
      </c>
    </row>
    <row r="426" spans="1:19">
      <c r="A426" s="42"/>
      <c r="B426" s="33"/>
      <c r="C426" s="33"/>
      <c r="D426" s="43"/>
      <c r="E426" s="33"/>
      <c r="F426" s="33"/>
      <c r="G426" s="33"/>
      <c r="H426" s="33"/>
      <c r="I426" s="33"/>
      <c r="J426" s="44">
        <f>(D426/100000)*Index!$E$4</f>
        <v>0</v>
      </c>
      <c r="K426" s="44">
        <f>SUMIF(Index!$C$15:$C$40,'perhitungan individu'!E426,Index!$D$15:$D$40)*Index!$E$5</f>
        <v>0</v>
      </c>
      <c r="L426" s="44">
        <f>SUMIF(Index!$E$15:$E$40,'perhitungan individu'!F426,Index!F$15:F$40)*Index!$E$6</f>
        <v>0</v>
      </c>
      <c r="M426" s="44">
        <f>SUMIF(Index!$H$15:$H$40,'perhitungan individu'!$G426,Index!$I$15:$I$40)*Index!$E$7</f>
        <v>0</v>
      </c>
      <c r="N426" s="44">
        <f>SUMIF(Index!$K$15:$K$40,'perhitungan individu'!$G426,Index!$L$15:$L$40)*Index!$E$8</f>
        <v>0</v>
      </c>
      <c r="O426" s="44">
        <f>SUMIF(Index!$M$15:$M$40,'perhitungan individu'!H426,Index!$N$15:$N$40)*Index!$E$9</f>
        <v>0</v>
      </c>
      <c r="P426" s="44">
        <f>SUMIF('Kinera Unit Kerja'!$B$4:$B$20,'perhitungan individu'!$G426,'Kinera Unit Kerja'!$G$4:$G$20)*Index!$E$10</f>
        <v>0</v>
      </c>
      <c r="Q426" s="44">
        <f>I426*Index!$E$11</f>
        <v>0</v>
      </c>
      <c r="R426" s="47">
        <f t="shared" si="13"/>
        <v>0</v>
      </c>
      <c r="S426" s="48">
        <f t="shared" si="12"/>
        <v>0</v>
      </c>
    </row>
    <row r="427" spans="1:19">
      <c r="A427" s="42"/>
      <c r="B427" s="33"/>
      <c r="C427" s="33"/>
      <c r="D427" s="43"/>
      <c r="E427" s="33"/>
      <c r="F427" s="33"/>
      <c r="G427" s="33"/>
      <c r="H427" s="33"/>
      <c r="I427" s="33"/>
      <c r="J427" s="44">
        <f>(D427/100000)*Index!$E$4</f>
        <v>0</v>
      </c>
      <c r="K427" s="44">
        <f>SUMIF(Index!$C$15:$C$40,'perhitungan individu'!E427,Index!$D$15:$D$40)*Index!$E$5</f>
        <v>0</v>
      </c>
      <c r="L427" s="44">
        <f>SUMIF(Index!$E$15:$E$40,'perhitungan individu'!F427,Index!F$15:F$40)*Index!$E$6</f>
        <v>0</v>
      </c>
      <c r="M427" s="44">
        <f>SUMIF(Index!$H$15:$H$40,'perhitungan individu'!$G427,Index!$I$15:$I$40)*Index!$E$7</f>
        <v>0</v>
      </c>
      <c r="N427" s="44">
        <f>SUMIF(Index!$K$15:$K$40,'perhitungan individu'!$G427,Index!$L$15:$L$40)*Index!$E$8</f>
        <v>0</v>
      </c>
      <c r="O427" s="44">
        <f>SUMIF(Index!$M$15:$M$40,'perhitungan individu'!H427,Index!$N$15:$N$40)*Index!$E$9</f>
        <v>0</v>
      </c>
      <c r="P427" s="44">
        <f>SUMIF('Kinera Unit Kerja'!$B$4:$B$20,'perhitungan individu'!$G427,'Kinera Unit Kerja'!$G$4:$G$20)*Index!$E$10</f>
        <v>0</v>
      </c>
      <c r="Q427" s="44">
        <f>I427*Index!$E$11</f>
        <v>0</v>
      </c>
      <c r="R427" s="47">
        <f t="shared" si="13"/>
        <v>0</v>
      </c>
      <c r="S427" s="48">
        <f t="shared" si="12"/>
        <v>0</v>
      </c>
    </row>
    <row r="428" spans="1:19">
      <c r="A428" s="42"/>
      <c r="B428" s="33"/>
      <c r="C428" s="33"/>
      <c r="D428" s="43"/>
      <c r="E428" s="33"/>
      <c r="F428" s="33"/>
      <c r="G428" s="33"/>
      <c r="H428" s="33"/>
      <c r="I428" s="33"/>
      <c r="J428" s="44">
        <f>(D428/100000)*Index!$E$4</f>
        <v>0</v>
      </c>
      <c r="K428" s="44">
        <f>SUMIF(Index!$C$15:$C$40,'perhitungan individu'!E428,Index!$D$15:$D$40)*Index!$E$5</f>
        <v>0</v>
      </c>
      <c r="L428" s="44">
        <f>SUMIF(Index!$E$15:$E$40,'perhitungan individu'!F428,Index!F$15:F$40)*Index!$E$6</f>
        <v>0</v>
      </c>
      <c r="M428" s="44">
        <f>SUMIF(Index!$H$15:$H$40,'perhitungan individu'!$G428,Index!$I$15:$I$40)*Index!$E$7</f>
        <v>0</v>
      </c>
      <c r="N428" s="44">
        <f>SUMIF(Index!$K$15:$K$40,'perhitungan individu'!$G428,Index!$L$15:$L$40)*Index!$E$8</f>
        <v>0</v>
      </c>
      <c r="O428" s="44">
        <f>SUMIF(Index!$M$15:$M$40,'perhitungan individu'!H428,Index!$N$15:$N$40)*Index!$E$9</f>
        <v>0</v>
      </c>
      <c r="P428" s="44">
        <f>SUMIF('Kinera Unit Kerja'!$B$4:$B$20,'perhitungan individu'!$G428,'Kinera Unit Kerja'!$G$4:$G$20)*Index!$E$10</f>
        <v>0</v>
      </c>
      <c r="Q428" s="44">
        <f>I428*Index!$E$11</f>
        <v>0</v>
      </c>
      <c r="R428" s="47">
        <f t="shared" si="13"/>
        <v>0</v>
      </c>
      <c r="S428" s="48">
        <f t="shared" si="12"/>
        <v>0</v>
      </c>
    </row>
    <row r="429" spans="1:19">
      <c r="A429" s="42"/>
      <c r="B429" s="33"/>
      <c r="C429" s="33"/>
      <c r="D429" s="43"/>
      <c r="E429" s="33"/>
      <c r="F429" s="33"/>
      <c r="G429" s="33"/>
      <c r="H429" s="33"/>
      <c r="I429" s="33"/>
      <c r="J429" s="44">
        <f>(D429/100000)*Index!$E$4</f>
        <v>0</v>
      </c>
      <c r="K429" s="44">
        <f>SUMIF(Index!$C$15:$C$40,'perhitungan individu'!E429,Index!$D$15:$D$40)*Index!$E$5</f>
        <v>0</v>
      </c>
      <c r="L429" s="44">
        <f>SUMIF(Index!$E$15:$E$40,'perhitungan individu'!F429,Index!F$15:F$40)*Index!$E$6</f>
        <v>0</v>
      </c>
      <c r="M429" s="44">
        <f>SUMIF(Index!$H$15:$H$40,'perhitungan individu'!$G429,Index!$I$15:$I$40)*Index!$E$7</f>
        <v>0</v>
      </c>
      <c r="N429" s="44">
        <f>SUMIF(Index!$K$15:$K$40,'perhitungan individu'!$G429,Index!$L$15:$L$40)*Index!$E$8</f>
        <v>0</v>
      </c>
      <c r="O429" s="44">
        <f>SUMIF(Index!$M$15:$M$40,'perhitungan individu'!H429,Index!$N$15:$N$40)*Index!$E$9</f>
        <v>0</v>
      </c>
      <c r="P429" s="44">
        <f>SUMIF('Kinera Unit Kerja'!$B$4:$B$20,'perhitungan individu'!$G429,'Kinera Unit Kerja'!$G$4:$G$20)*Index!$E$10</f>
        <v>0</v>
      </c>
      <c r="Q429" s="44">
        <f>I429*Index!$E$11</f>
        <v>0</v>
      </c>
      <c r="R429" s="47">
        <f t="shared" si="13"/>
        <v>0</v>
      </c>
      <c r="S429" s="48">
        <f t="shared" si="12"/>
        <v>0</v>
      </c>
    </row>
    <row r="430" spans="1:19">
      <c r="A430" s="42"/>
      <c r="B430" s="33"/>
      <c r="C430" s="33"/>
      <c r="D430" s="43"/>
      <c r="E430" s="33"/>
      <c r="F430" s="33"/>
      <c r="G430" s="33"/>
      <c r="H430" s="33"/>
      <c r="I430" s="33"/>
      <c r="J430" s="44">
        <f>(D430/100000)*Index!$E$4</f>
        <v>0</v>
      </c>
      <c r="K430" s="44">
        <f>SUMIF(Index!$C$15:$C$40,'perhitungan individu'!E430,Index!$D$15:$D$40)*Index!$E$5</f>
        <v>0</v>
      </c>
      <c r="L430" s="44">
        <f>SUMIF(Index!$E$15:$E$40,'perhitungan individu'!F430,Index!F$15:F$40)*Index!$E$6</f>
        <v>0</v>
      </c>
      <c r="M430" s="44">
        <f>SUMIF(Index!$H$15:$H$40,'perhitungan individu'!$G430,Index!$I$15:$I$40)*Index!$E$7</f>
        <v>0</v>
      </c>
      <c r="N430" s="44">
        <f>SUMIF(Index!$K$15:$K$40,'perhitungan individu'!$G430,Index!$L$15:$L$40)*Index!$E$8</f>
        <v>0</v>
      </c>
      <c r="O430" s="44">
        <f>SUMIF(Index!$M$15:$M$40,'perhitungan individu'!H430,Index!$N$15:$N$40)*Index!$E$9</f>
        <v>0</v>
      </c>
      <c r="P430" s="44">
        <f>SUMIF('Kinera Unit Kerja'!$B$4:$B$20,'perhitungan individu'!$G430,'Kinera Unit Kerja'!$G$4:$G$20)*Index!$E$10</f>
        <v>0</v>
      </c>
      <c r="Q430" s="44">
        <f>I430*Index!$E$11</f>
        <v>0</v>
      </c>
      <c r="R430" s="47">
        <f t="shared" si="13"/>
        <v>0</v>
      </c>
      <c r="S430" s="48">
        <f t="shared" si="12"/>
        <v>0</v>
      </c>
    </row>
    <row r="431" spans="1:19">
      <c r="A431" s="42"/>
      <c r="B431" s="33"/>
      <c r="C431" s="33"/>
      <c r="D431" s="43"/>
      <c r="E431" s="33"/>
      <c r="F431" s="33"/>
      <c r="G431" s="33"/>
      <c r="H431" s="33"/>
      <c r="I431" s="33"/>
      <c r="J431" s="44">
        <f>(D431/100000)*Index!$E$4</f>
        <v>0</v>
      </c>
      <c r="K431" s="44">
        <f>SUMIF(Index!$C$15:$C$40,'perhitungan individu'!E431,Index!$D$15:$D$40)*Index!$E$5</f>
        <v>0</v>
      </c>
      <c r="L431" s="44">
        <f>SUMIF(Index!$E$15:$E$40,'perhitungan individu'!F431,Index!F$15:F$40)*Index!$E$6</f>
        <v>0</v>
      </c>
      <c r="M431" s="44">
        <f>SUMIF(Index!$H$15:$H$40,'perhitungan individu'!$G431,Index!$I$15:$I$40)*Index!$E$7</f>
        <v>0</v>
      </c>
      <c r="N431" s="44">
        <f>SUMIF(Index!$K$15:$K$40,'perhitungan individu'!$G431,Index!$L$15:$L$40)*Index!$E$8</f>
        <v>0</v>
      </c>
      <c r="O431" s="44">
        <f>SUMIF(Index!$M$15:$M$40,'perhitungan individu'!H431,Index!$N$15:$N$40)*Index!$E$9</f>
        <v>0</v>
      </c>
      <c r="P431" s="44">
        <f>SUMIF('Kinera Unit Kerja'!$B$4:$B$20,'perhitungan individu'!$G431,'Kinera Unit Kerja'!$G$4:$G$20)*Index!$E$10</f>
        <v>0</v>
      </c>
      <c r="Q431" s="44">
        <f>I431*Index!$E$11</f>
        <v>0</v>
      </c>
      <c r="R431" s="47">
        <f t="shared" si="13"/>
        <v>0</v>
      </c>
      <c r="S431" s="48">
        <f t="shared" si="12"/>
        <v>0</v>
      </c>
    </row>
    <row r="432" spans="1:19">
      <c r="A432" s="42"/>
      <c r="B432" s="33"/>
      <c r="C432" s="33"/>
      <c r="D432" s="43"/>
      <c r="E432" s="33"/>
      <c r="F432" s="33"/>
      <c r="G432" s="33"/>
      <c r="H432" s="33"/>
      <c r="I432" s="33"/>
      <c r="J432" s="44">
        <f>(D432/100000)*Index!$E$4</f>
        <v>0</v>
      </c>
      <c r="K432" s="44">
        <f>SUMIF(Index!$C$15:$C$40,'perhitungan individu'!E432,Index!$D$15:$D$40)*Index!$E$5</f>
        <v>0</v>
      </c>
      <c r="L432" s="44">
        <f>SUMIF(Index!$E$15:$E$40,'perhitungan individu'!F432,Index!F$15:F$40)*Index!$E$6</f>
        <v>0</v>
      </c>
      <c r="M432" s="44">
        <f>SUMIF(Index!$H$15:$H$40,'perhitungan individu'!$G432,Index!$I$15:$I$40)*Index!$E$7</f>
        <v>0</v>
      </c>
      <c r="N432" s="44">
        <f>SUMIF(Index!$K$15:$K$40,'perhitungan individu'!$G432,Index!$L$15:$L$40)*Index!$E$8</f>
        <v>0</v>
      </c>
      <c r="O432" s="44">
        <f>SUMIF(Index!$M$15:$M$40,'perhitungan individu'!H432,Index!$N$15:$N$40)*Index!$E$9</f>
        <v>0</v>
      </c>
      <c r="P432" s="44">
        <f>SUMIF('Kinera Unit Kerja'!$B$4:$B$20,'perhitungan individu'!$G432,'Kinera Unit Kerja'!$G$4:$G$20)*Index!$E$10</f>
        <v>0</v>
      </c>
      <c r="Q432" s="44">
        <f>I432*Index!$E$11</f>
        <v>0</v>
      </c>
      <c r="R432" s="47">
        <f t="shared" si="13"/>
        <v>0</v>
      </c>
      <c r="S432" s="48">
        <f t="shared" si="12"/>
        <v>0</v>
      </c>
    </row>
    <row r="433" spans="1:19">
      <c r="A433" s="42"/>
      <c r="B433" s="33"/>
      <c r="C433" s="33"/>
      <c r="D433" s="43"/>
      <c r="E433" s="33"/>
      <c r="F433" s="33"/>
      <c r="G433" s="33"/>
      <c r="H433" s="33"/>
      <c r="I433" s="33"/>
      <c r="J433" s="44">
        <f>(D433/100000)*Index!$E$4</f>
        <v>0</v>
      </c>
      <c r="K433" s="44">
        <f>SUMIF(Index!$C$15:$C$40,'perhitungan individu'!E433,Index!$D$15:$D$40)*Index!$E$5</f>
        <v>0</v>
      </c>
      <c r="L433" s="44">
        <f>SUMIF(Index!$E$15:$E$40,'perhitungan individu'!F433,Index!F$15:F$40)*Index!$E$6</f>
        <v>0</v>
      </c>
      <c r="M433" s="44">
        <f>SUMIF(Index!$H$15:$H$40,'perhitungan individu'!$G433,Index!$I$15:$I$40)*Index!$E$7</f>
        <v>0</v>
      </c>
      <c r="N433" s="44">
        <f>SUMIF(Index!$K$15:$K$40,'perhitungan individu'!$G433,Index!$L$15:$L$40)*Index!$E$8</f>
        <v>0</v>
      </c>
      <c r="O433" s="44">
        <f>SUMIF(Index!$M$15:$M$40,'perhitungan individu'!H433,Index!$N$15:$N$40)*Index!$E$9</f>
        <v>0</v>
      </c>
      <c r="P433" s="44">
        <f>SUMIF('Kinera Unit Kerja'!$B$4:$B$20,'perhitungan individu'!$G433,'Kinera Unit Kerja'!$G$4:$G$20)*Index!$E$10</f>
        <v>0</v>
      </c>
      <c r="Q433" s="44">
        <f>I433*Index!$E$11</f>
        <v>0</v>
      </c>
      <c r="R433" s="47">
        <f t="shared" si="13"/>
        <v>0</v>
      </c>
      <c r="S433" s="48">
        <f t="shared" si="12"/>
        <v>0</v>
      </c>
    </row>
    <row r="434" spans="1:19">
      <c r="A434" s="42"/>
      <c r="B434" s="33"/>
      <c r="C434" s="33"/>
      <c r="D434" s="43"/>
      <c r="E434" s="33"/>
      <c r="F434" s="33"/>
      <c r="G434" s="33"/>
      <c r="H434" s="33"/>
      <c r="I434" s="33"/>
      <c r="J434" s="44">
        <f>(D434/100000)*Index!$E$4</f>
        <v>0</v>
      </c>
      <c r="K434" s="44">
        <f>SUMIF(Index!$C$15:$C$40,'perhitungan individu'!E434,Index!$D$15:$D$40)*Index!$E$5</f>
        <v>0</v>
      </c>
      <c r="L434" s="44">
        <f>SUMIF(Index!$E$15:$E$40,'perhitungan individu'!F434,Index!F$15:F$40)*Index!$E$6</f>
        <v>0</v>
      </c>
      <c r="M434" s="44">
        <f>SUMIF(Index!$H$15:$H$40,'perhitungan individu'!$G434,Index!$I$15:$I$40)*Index!$E$7</f>
        <v>0</v>
      </c>
      <c r="N434" s="44">
        <f>SUMIF(Index!$K$15:$K$40,'perhitungan individu'!$G434,Index!$L$15:$L$40)*Index!$E$8</f>
        <v>0</v>
      </c>
      <c r="O434" s="44">
        <f>SUMIF(Index!$M$15:$M$40,'perhitungan individu'!H434,Index!$N$15:$N$40)*Index!$E$9</f>
        <v>0</v>
      </c>
      <c r="P434" s="44">
        <f>SUMIF('Kinera Unit Kerja'!$B$4:$B$20,'perhitungan individu'!$G434,'Kinera Unit Kerja'!$G$4:$G$20)*Index!$E$10</f>
        <v>0</v>
      </c>
      <c r="Q434" s="44">
        <f>I434*Index!$E$11</f>
        <v>0</v>
      </c>
      <c r="R434" s="47">
        <f t="shared" si="13"/>
        <v>0</v>
      </c>
      <c r="S434" s="48">
        <f t="shared" si="12"/>
        <v>0</v>
      </c>
    </row>
    <row r="435" spans="1:19">
      <c r="A435" s="42"/>
      <c r="B435" s="33"/>
      <c r="C435" s="33"/>
      <c r="D435" s="43"/>
      <c r="E435" s="33"/>
      <c r="F435" s="33"/>
      <c r="G435" s="33"/>
      <c r="H435" s="33"/>
      <c r="I435" s="33"/>
      <c r="J435" s="44">
        <f>(D435/100000)*Index!$E$4</f>
        <v>0</v>
      </c>
      <c r="K435" s="44">
        <f>SUMIF(Index!$C$15:$C$40,'perhitungan individu'!E435,Index!$D$15:$D$40)*Index!$E$5</f>
        <v>0</v>
      </c>
      <c r="L435" s="44">
        <f>SUMIF(Index!$E$15:$E$40,'perhitungan individu'!F435,Index!F$15:F$40)*Index!$E$6</f>
        <v>0</v>
      </c>
      <c r="M435" s="44">
        <f>SUMIF(Index!$H$15:$H$40,'perhitungan individu'!$G435,Index!$I$15:$I$40)*Index!$E$7</f>
        <v>0</v>
      </c>
      <c r="N435" s="44">
        <f>SUMIF(Index!$K$15:$K$40,'perhitungan individu'!$G435,Index!$L$15:$L$40)*Index!$E$8</f>
        <v>0</v>
      </c>
      <c r="O435" s="44">
        <f>SUMIF(Index!$M$15:$M$40,'perhitungan individu'!H435,Index!$N$15:$N$40)*Index!$E$9</f>
        <v>0</v>
      </c>
      <c r="P435" s="44">
        <f>SUMIF('Kinera Unit Kerja'!$B$4:$B$20,'perhitungan individu'!$G435,'Kinera Unit Kerja'!$G$4:$G$20)*Index!$E$10</f>
        <v>0</v>
      </c>
      <c r="Q435" s="44">
        <f>I435*Index!$E$11</f>
        <v>0</v>
      </c>
      <c r="R435" s="47">
        <f t="shared" si="13"/>
        <v>0</v>
      </c>
      <c r="S435" s="48">
        <f t="shared" si="12"/>
        <v>0</v>
      </c>
    </row>
    <row r="436" spans="1:19">
      <c r="A436" s="42"/>
      <c r="B436" s="33"/>
      <c r="C436" s="33"/>
      <c r="D436" s="43"/>
      <c r="E436" s="33"/>
      <c r="F436" s="33"/>
      <c r="G436" s="33"/>
      <c r="H436" s="33"/>
      <c r="I436" s="33"/>
      <c r="J436" s="44">
        <f>(D436/100000)*Index!$E$4</f>
        <v>0</v>
      </c>
      <c r="K436" s="44">
        <f>SUMIF(Index!$C$15:$C$40,'perhitungan individu'!E436,Index!$D$15:$D$40)*Index!$E$5</f>
        <v>0</v>
      </c>
      <c r="L436" s="44">
        <f>SUMIF(Index!$E$15:$E$40,'perhitungan individu'!F436,Index!F$15:F$40)*Index!$E$6</f>
        <v>0</v>
      </c>
      <c r="M436" s="44">
        <f>SUMIF(Index!$H$15:$H$40,'perhitungan individu'!$G436,Index!$I$15:$I$40)*Index!$E$7</f>
        <v>0</v>
      </c>
      <c r="N436" s="44">
        <f>SUMIF(Index!$K$15:$K$40,'perhitungan individu'!$G436,Index!$L$15:$L$40)*Index!$E$8</f>
        <v>0</v>
      </c>
      <c r="O436" s="44">
        <f>SUMIF(Index!$M$15:$M$40,'perhitungan individu'!H436,Index!$N$15:$N$40)*Index!$E$9</f>
        <v>0</v>
      </c>
      <c r="P436" s="44">
        <f>SUMIF('Kinera Unit Kerja'!$B$4:$B$20,'perhitungan individu'!$G436,'Kinera Unit Kerja'!$G$4:$G$20)*Index!$E$10</f>
        <v>0</v>
      </c>
      <c r="Q436" s="44">
        <f>I436*Index!$E$11</f>
        <v>0</v>
      </c>
      <c r="R436" s="47">
        <f t="shared" si="13"/>
        <v>0</v>
      </c>
      <c r="S436" s="48">
        <f t="shared" si="12"/>
        <v>0</v>
      </c>
    </row>
    <row r="437" spans="1:19">
      <c r="A437" s="42"/>
      <c r="B437" s="33"/>
      <c r="C437" s="33"/>
      <c r="D437" s="43"/>
      <c r="E437" s="33"/>
      <c r="F437" s="33"/>
      <c r="G437" s="33"/>
      <c r="H437" s="33"/>
      <c r="I437" s="33"/>
      <c r="J437" s="44">
        <f>(D437/100000)*Index!$E$4</f>
        <v>0</v>
      </c>
      <c r="K437" s="44">
        <f>SUMIF(Index!$C$15:$C$40,'perhitungan individu'!E437,Index!$D$15:$D$40)*Index!$E$5</f>
        <v>0</v>
      </c>
      <c r="L437" s="44">
        <f>SUMIF(Index!$E$15:$E$40,'perhitungan individu'!F437,Index!F$15:F$40)*Index!$E$6</f>
        <v>0</v>
      </c>
      <c r="M437" s="44">
        <f>SUMIF(Index!$H$15:$H$40,'perhitungan individu'!$G437,Index!$I$15:$I$40)*Index!$E$7</f>
        <v>0</v>
      </c>
      <c r="N437" s="44">
        <f>SUMIF(Index!$K$15:$K$40,'perhitungan individu'!$G437,Index!$L$15:$L$40)*Index!$E$8</f>
        <v>0</v>
      </c>
      <c r="O437" s="44">
        <f>SUMIF(Index!$M$15:$M$40,'perhitungan individu'!H437,Index!$N$15:$N$40)*Index!$E$9</f>
        <v>0</v>
      </c>
      <c r="P437" s="44">
        <f>SUMIF('Kinera Unit Kerja'!$B$4:$B$20,'perhitungan individu'!$G437,'Kinera Unit Kerja'!$G$4:$G$20)*Index!$E$10</f>
        <v>0</v>
      </c>
      <c r="Q437" s="44">
        <f>I437*Index!$E$11</f>
        <v>0</v>
      </c>
      <c r="R437" s="47">
        <f t="shared" si="13"/>
        <v>0</v>
      </c>
      <c r="S437" s="48">
        <f t="shared" si="12"/>
        <v>0</v>
      </c>
    </row>
    <row r="438" spans="1:19">
      <c r="A438" s="42"/>
      <c r="B438" s="33"/>
      <c r="C438" s="33"/>
      <c r="D438" s="43"/>
      <c r="E438" s="33"/>
      <c r="F438" s="33"/>
      <c r="G438" s="33"/>
      <c r="H438" s="33"/>
      <c r="I438" s="33"/>
      <c r="J438" s="44">
        <f>(D438/100000)*Index!$E$4</f>
        <v>0</v>
      </c>
      <c r="K438" s="44">
        <f>SUMIF(Index!$C$15:$C$40,'perhitungan individu'!E438,Index!$D$15:$D$40)*Index!$E$5</f>
        <v>0</v>
      </c>
      <c r="L438" s="44">
        <f>SUMIF(Index!$E$15:$E$40,'perhitungan individu'!F438,Index!F$15:F$40)*Index!$E$6</f>
        <v>0</v>
      </c>
      <c r="M438" s="44">
        <f>SUMIF(Index!$H$15:$H$40,'perhitungan individu'!$G438,Index!$I$15:$I$40)*Index!$E$7</f>
        <v>0</v>
      </c>
      <c r="N438" s="44">
        <f>SUMIF(Index!$K$15:$K$40,'perhitungan individu'!$G438,Index!$L$15:$L$40)*Index!$E$8</f>
        <v>0</v>
      </c>
      <c r="O438" s="44">
        <f>SUMIF(Index!$M$15:$M$40,'perhitungan individu'!H438,Index!$N$15:$N$40)*Index!$E$9</f>
        <v>0</v>
      </c>
      <c r="P438" s="44">
        <f>SUMIF('Kinera Unit Kerja'!$B$4:$B$20,'perhitungan individu'!$G438,'Kinera Unit Kerja'!$G$4:$G$20)*Index!$E$10</f>
        <v>0</v>
      </c>
      <c r="Q438" s="44">
        <f>I438*Index!$E$11</f>
        <v>0</v>
      </c>
      <c r="R438" s="47">
        <f t="shared" si="13"/>
        <v>0</v>
      </c>
      <c r="S438" s="48">
        <f t="shared" si="12"/>
        <v>0</v>
      </c>
    </row>
    <row r="439" spans="1:19">
      <c r="A439" s="42"/>
      <c r="B439" s="33"/>
      <c r="C439" s="33"/>
      <c r="D439" s="43"/>
      <c r="E439" s="33"/>
      <c r="F439" s="33"/>
      <c r="G439" s="33"/>
      <c r="H439" s="33"/>
      <c r="I439" s="33"/>
      <c r="J439" s="44">
        <f>(D439/100000)*Index!$E$4</f>
        <v>0</v>
      </c>
      <c r="K439" s="44">
        <f>SUMIF(Index!$C$15:$C$40,'perhitungan individu'!E439,Index!$D$15:$D$40)*Index!$E$5</f>
        <v>0</v>
      </c>
      <c r="L439" s="44">
        <f>SUMIF(Index!$E$15:$E$40,'perhitungan individu'!F439,Index!F$15:F$40)*Index!$E$6</f>
        <v>0</v>
      </c>
      <c r="M439" s="44">
        <f>SUMIF(Index!$H$15:$H$40,'perhitungan individu'!$G439,Index!$I$15:$I$40)*Index!$E$7</f>
        <v>0</v>
      </c>
      <c r="N439" s="44">
        <f>SUMIF(Index!$K$15:$K$40,'perhitungan individu'!$G439,Index!$L$15:$L$40)*Index!$E$8</f>
        <v>0</v>
      </c>
      <c r="O439" s="44">
        <f>SUMIF(Index!$M$15:$M$40,'perhitungan individu'!H439,Index!$N$15:$N$40)*Index!$E$9</f>
        <v>0</v>
      </c>
      <c r="P439" s="44">
        <f>SUMIF('Kinera Unit Kerja'!$B$4:$B$20,'perhitungan individu'!$G439,'Kinera Unit Kerja'!$G$4:$G$20)*Index!$E$10</f>
        <v>0</v>
      </c>
      <c r="Q439" s="44">
        <f>I439*Index!$E$11</f>
        <v>0</v>
      </c>
      <c r="R439" s="47">
        <f t="shared" si="13"/>
        <v>0</v>
      </c>
      <c r="S439" s="48">
        <f t="shared" si="12"/>
        <v>0</v>
      </c>
    </row>
    <row r="440" spans="1:19">
      <c r="A440" s="42"/>
      <c r="B440" s="33"/>
      <c r="C440" s="33"/>
      <c r="D440" s="43"/>
      <c r="E440" s="33"/>
      <c r="F440" s="33"/>
      <c r="G440" s="33"/>
      <c r="H440" s="33"/>
      <c r="I440" s="33"/>
      <c r="J440" s="44">
        <f>(D440/100000)*Index!$E$4</f>
        <v>0</v>
      </c>
      <c r="K440" s="44">
        <f>SUMIF(Index!$C$15:$C$40,'perhitungan individu'!E440,Index!$D$15:$D$40)*Index!$E$5</f>
        <v>0</v>
      </c>
      <c r="L440" s="44">
        <f>SUMIF(Index!$E$15:$E$40,'perhitungan individu'!F440,Index!F$15:F$40)*Index!$E$6</f>
        <v>0</v>
      </c>
      <c r="M440" s="44">
        <f>SUMIF(Index!$H$15:$H$40,'perhitungan individu'!$G440,Index!$I$15:$I$40)*Index!$E$7</f>
        <v>0</v>
      </c>
      <c r="N440" s="44">
        <f>SUMIF(Index!$K$15:$K$40,'perhitungan individu'!$G440,Index!$L$15:$L$40)*Index!$E$8</f>
        <v>0</v>
      </c>
      <c r="O440" s="44">
        <f>SUMIF(Index!$M$15:$M$40,'perhitungan individu'!H440,Index!$N$15:$N$40)*Index!$E$9</f>
        <v>0</v>
      </c>
      <c r="P440" s="44">
        <f>SUMIF('Kinera Unit Kerja'!$B$4:$B$20,'perhitungan individu'!$G440,'Kinera Unit Kerja'!$G$4:$G$20)*Index!$E$10</f>
        <v>0</v>
      </c>
      <c r="Q440" s="44">
        <f>I440*Index!$E$11</f>
        <v>0</v>
      </c>
      <c r="R440" s="47">
        <f t="shared" si="13"/>
        <v>0</v>
      </c>
      <c r="S440" s="48">
        <f t="shared" si="12"/>
        <v>0</v>
      </c>
    </row>
    <row r="441" spans="1:19">
      <c r="A441" s="42"/>
      <c r="B441" s="33"/>
      <c r="C441" s="33"/>
      <c r="D441" s="43"/>
      <c r="E441" s="33"/>
      <c r="F441" s="33"/>
      <c r="G441" s="33"/>
      <c r="H441" s="33"/>
      <c r="I441" s="33"/>
      <c r="J441" s="44">
        <f>(D441/100000)*Index!$E$4</f>
        <v>0</v>
      </c>
      <c r="K441" s="44">
        <f>SUMIF(Index!$C$15:$C$40,'perhitungan individu'!E441,Index!$D$15:$D$40)*Index!$E$5</f>
        <v>0</v>
      </c>
      <c r="L441" s="44">
        <f>SUMIF(Index!$E$15:$E$40,'perhitungan individu'!F441,Index!F$15:F$40)*Index!$E$6</f>
        <v>0</v>
      </c>
      <c r="M441" s="44">
        <f>SUMIF(Index!$H$15:$H$40,'perhitungan individu'!$G441,Index!$I$15:$I$40)*Index!$E$7</f>
        <v>0</v>
      </c>
      <c r="N441" s="44">
        <f>SUMIF(Index!$K$15:$K$40,'perhitungan individu'!$G441,Index!$L$15:$L$40)*Index!$E$8</f>
        <v>0</v>
      </c>
      <c r="O441" s="44">
        <f>SUMIF(Index!$M$15:$M$40,'perhitungan individu'!H441,Index!$N$15:$N$40)*Index!$E$9</f>
        <v>0</v>
      </c>
      <c r="P441" s="44">
        <f>SUMIF('Kinera Unit Kerja'!$B$4:$B$20,'perhitungan individu'!$G441,'Kinera Unit Kerja'!$G$4:$G$20)*Index!$E$10</f>
        <v>0</v>
      </c>
      <c r="Q441" s="44">
        <f>I441*Index!$E$11</f>
        <v>0</v>
      </c>
      <c r="R441" s="47">
        <f t="shared" si="13"/>
        <v>0</v>
      </c>
      <c r="S441" s="48">
        <f t="shared" si="12"/>
        <v>0</v>
      </c>
    </row>
    <row r="442" spans="1:19">
      <c r="A442" s="42"/>
      <c r="B442" s="33"/>
      <c r="C442" s="33"/>
      <c r="D442" s="43"/>
      <c r="E442" s="33"/>
      <c r="F442" s="33"/>
      <c r="G442" s="33"/>
      <c r="H442" s="33"/>
      <c r="I442" s="33"/>
      <c r="J442" s="44">
        <f>(D442/100000)*Index!$E$4</f>
        <v>0</v>
      </c>
      <c r="K442" s="44">
        <f>SUMIF(Index!$C$15:$C$40,'perhitungan individu'!E442,Index!$D$15:$D$40)*Index!$E$5</f>
        <v>0</v>
      </c>
      <c r="L442" s="44">
        <f>SUMIF(Index!$E$15:$E$40,'perhitungan individu'!F442,Index!F$15:F$40)*Index!$E$6</f>
        <v>0</v>
      </c>
      <c r="M442" s="44">
        <f>SUMIF(Index!$H$15:$H$40,'perhitungan individu'!$G442,Index!$I$15:$I$40)*Index!$E$7</f>
        <v>0</v>
      </c>
      <c r="N442" s="44">
        <f>SUMIF(Index!$K$15:$K$40,'perhitungan individu'!$G442,Index!$L$15:$L$40)*Index!$E$8</f>
        <v>0</v>
      </c>
      <c r="O442" s="44">
        <f>SUMIF(Index!$M$15:$M$40,'perhitungan individu'!H442,Index!$N$15:$N$40)*Index!$E$9</f>
        <v>0</v>
      </c>
      <c r="P442" s="44">
        <f>SUMIF('Kinera Unit Kerja'!$B$4:$B$20,'perhitungan individu'!$G442,'Kinera Unit Kerja'!$G$4:$G$20)*Index!$E$10</f>
        <v>0</v>
      </c>
      <c r="Q442" s="44">
        <f>I442*Index!$E$11</f>
        <v>0</v>
      </c>
      <c r="R442" s="47">
        <f t="shared" si="13"/>
        <v>0</v>
      </c>
      <c r="S442" s="48">
        <f t="shared" si="12"/>
        <v>0</v>
      </c>
    </row>
    <row r="443" spans="1:19">
      <c r="A443" s="42"/>
      <c r="B443" s="33"/>
      <c r="C443" s="33"/>
      <c r="D443" s="43"/>
      <c r="E443" s="33"/>
      <c r="F443" s="33"/>
      <c r="G443" s="33"/>
      <c r="H443" s="33"/>
      <c r="I443" s="33"/>
      <c r="J443" s="44">
        <f>(D443/100000)*Index!$E$4</f>
        <v>0</v>
      </c>
      <c r="K443" s="44">
        <f>SUMIF(Index!$C$15:$C$40,'perhitungan individu'!E443,Index!$D$15:$D$40)*Index!$E$5</f>
        <v>0</v>
      </c>
      <c r="L443" s="44">
        <f>SUMIF(Index!$E$15:$E$40,'perhitungan individu'!F443,Index!F$15:F$40)*Index!$E$6</f>
        <v>0</v>
      </c>
      <c r="M443" s="44">
        <f>SUMIF(Index!$H$15:$H$40,'perhitungan individu'!$G443,Index!$I$15:$I$40)*Index!$E$7</f>
        <v>0</v>
      </c>
      <c r="N443" s="44">
        <f>SUMIF(Index!$K$15:$K$40,'perhitungan individu'!$G443,Index!$L$15:$L$40)*Index!$E$8</f>
        <v>0</v>
      </c>
      <c r="O443" s="44">
        <f>SUMIF(Index!$M$15:$M$40,'perhitungan individu'!H443,Index!$N$15:$N$40)*Index!$E$9</f>
        <v>0</v>
      </c>
      <c r="P443" s="44">
        <f>SUMIF('Kinera Unit Kerja'!$B$4:$B$20,'perhitungan individu'!$G443,'Kinera Unit Kerja'!$G$4:$G$20)*Index!$E$10</f>
        <v>0</v>
      </c>
      <c r="Q443" s="44">
        <f>I443*Index!$E$11</f>
        <v>0</v>
      </c>
      <c r="R443" s="47">
        <f t="shared" si="13"/>
        <v>0</v>
      </c>
      <c r="S443" s="48">
        <f t="shared" si="12"/>
        <v>0</v>
      </c>
    </row>
    <row r="444" spans="1:19">
      <c r="A444" s="42"/>
      <c r="B444" s="33"/>
      <c r="C444" s="33"/>
      <c r="D444" s="43"/>
      <c r="E444" s="33"/>
      <c r="F444" s="33"/>
      <c r="G444" s="33"/>
      <c r="H444" s="33"/>
      <c r="I444" s="33"/>
      <c r="J444" s="44">
        <f>(D444/100000)*Index!$E$4</f>
        <v>0</v>
      </c>
      <c r="K444" s="44">
        <f>SUMIF(Index!$C$15:$C$40,'perhitungan individu'!E444,Index!$D$15:$D$40)*Index!$E$5</f>
        <v>0</v>
      </c>
      <c r="L444" s="44">
        <f>SUMIF(Index!$E$15:$E$40,'perhitungan individu'!F444,Index!F$15:F$40)*Index!$E$6</f>
        <v>0</v>
      </c>
      <c r="M444" s="44">
        <f>SUMIF(Index!$H$15:$H$40,'perhitungan individu'!$G444,Index!$I$15:$I$40)*Index!$E$7</f>
        <v>0</v>
      </c>
      <c r="N444" s="44">
        <f>SUMIF(Index!$K$15:$K$40,'perhitungan individu'!$G444,Index!$L$15:$L$40)*Index!$E$8</f>
        <v>0</v>
      </c>
      <c r="O444" s="44">
        <f>SUMIF(Index!$M$15:$M$40,'perhitungan individu'!H444,Index!$N$15:$N$40)*Index!$E$9</f>
        <v>0</v>
      </c>
      <c r="P444" s="44">
        <f>SUMIF('Kinera Unit Kerja'!$B$4:$B$20,'perhitungan individu'!$G444,'Kinera Unit Kerja'!$G$4:$G$20)*Index!$E$10</f>
        <v>0</v>
      </c>
      <c r="Q444" s="44">
        <f>I444*Index!$E$11</f>
        <v>0</v>
      </c>
      <c r="R444" s="47">
        <f t="shared" si="13"/>
        <v>0</v>
      </c>
      <c r="S444" s="48">
        <f t="shared" si="12"/>
        <v>0</v>
      </c>
    </row>
    <row r="445" spans="1:19">
      <c r="A445" s="42"/>
      <c r="B445" s="33"/>
      <c r="C445" s="33"/>
      <c r="D445" s="43"/>
      <c r="E445" s="33"/>
      <c r="F445" s="33"/>
      <c r="G445" s="33"/>
      <c r="H445" s="33"/>
      <c r="I445" s="33"/>
      <c r="J445" s="44">
        <f>(D445/100000)*Index!$E$4</f>
        <v>0</v>
      </c>
      <c r="K445" s="44">
        <f>SUMIF(Index!$C$15:$C$40,'perhitungan individu'!E445,Index!$D$15:$D$40)*Index!$E$5</f>
        <v>0</v>
      </c>
      <c r="L445" s="44">
        <f>SUMIF(Index!$E$15:$E$40,'perhitungan individu'!F445,Index!F$15:F$40)*Index!$E$6</f>
        <v>0</v>
      </c>
      <c r="M445" s="44">
        <f>SUMIF(Index!$H$15:$H$40,'perhitungan individu'!$G445,Index!$I$15:$I$40)*Index!$E$7</f>
        <v>0</v>
      </c>
      <c r="N445" s="44">
        <f>SUMIF(Index!$K$15:$K$40,'perhitungan individu'!$G445,Index!$L$15:$L$40)*Index!$E$8</f>
        <v>0</v>
      </c>
      <c r="O445" s="44">
        <f>SUMIF(Index!$M$15:$M$40,'perhitungan individu'!H445,Index!$N$15:$N$40)*Index!$E$9</f>
        <v>0</v>
      </c>
      <c r="P445" s="44">
        <f>SUMIF('Kinera Unit Kerja'!$B$4:$B$20,'perhitungan individu'!$G445,'Kinera Unit Kerja'!$G$4:$G$20)*Index!$E$10</f>
        <v>0</v>
      </c>
      <c r="Q445" s="44">
        <f>I445*Index!$E$11</f>
        <v>0</v>
      </c>
      <c r="R445" s="47">
        <f t="shared" si="13"/>
        <v>0</v>
      </c>
      <c r="S445" s="48">
        <f t="shared" si="12"/>
        <v>0</v>
      </c>
    </row>
    <row r="446" spans="1:19">
      <c r="A446" s="42"/>
      <c r="B446" s="33"/>
      <c r="C446" s="33"/>
      <c r="D446" s="43"/>
      <c r="E446" s="33"/>
      <c r="F446" s="33"/>
      <c r="G446" s="33"/>
      <c r="H446" s="33"/>
      <c r="I446" s="33"/>
      <c r="J446" s="44">
        <f>(D446/100000)*Index!$E$4</f>
        <v>0</v>
      </c>
      <c r="K446" s="44">
        <f>SUMIF(Index!$C$15:$C$40,'perhitungan individu'!E446,Index!$D$15:$D$40)*Index!$E$5</f>
        <v>0</v>
      </c>
      <c r="L446" s="44">
        <f>SUMIF(Index!$E$15:$E$40,'perhitungan individu'!F446,Index!F$15:F$40)*Index!$E$6</f>
        <v>0</v>
      </c>
      <c r="M446" s="44">
        <f>SUMIF(Index!$H$15:$H$40,'perhitungan individu'!$G446,Index!$I$15:$I$40)*Index!$E$7</f>
        <v>0</v>
      </c>
      <c r="N446" s="44">
        <f>SUMIF(Index!$K$15:$K$40,'perhitungan individu'!$G446,Index!$L$15:$L$40)*Index!$E$8</f>
        <v>0</v>
      </c>
      <c r="O446" s="44">
        <f>SUMIF(Index!$M$15:$M$40,'perhitungan individu'!H446,Index!$N$15:$N$40)*Index!$E$9</f>
        <v>0</v>
      </c>
      <c r="P446" s="44">
        <f>SUMIF('Kinera Unit Kerja'!$B$4:$B$20,'perhitungan individu'!$G446,'Kinera Unit Kerja'!$G$4:$G$20)*Index!$E$10</f>
        <v>0</v>
      </c>
      <c r="Q446" s="44">
        <f>I446*Index!$E$11</f>
        <v>0</v>
      </c>
      <c r="R446" s="47">
        <f t="shared" si="13"/>
        <v>0</v>
      </c>
      <c r="S446" s="48">
        <f t="shared" si="12"/>
        <v>0</v>
      </c>
    </row>
    <row r="447" spans="1:19">
      <c r="A447" s="42"/>
      <c r="B447" s="33"/>
      <c r="C447" s="33"/>
      <c r="D447" s="43"/>
      <c r="E447" s="33"/>
      <c r="F447" s="33"/>
      <c r="G447" s="33"/>
      <c r="H447" s="33"/>
      <c r="I447" s="33"/>
      <c r="J447" s="44">
        <f>(D447/100000)*Index!$E$4</f>
        <v>0</v>
      </c>
      <c r="K447" s="44">
        <f>SUMIF(Index!$C$15:$C$40,'perhitungan individu'!E447,Index!$D$15:$D$40)*Index!$E$5</f>
        <v>0</v>
      </c>
      <c r="L447" s="44">
        <f>SUMIF(Index!$E$15:$E$40,'perhitungan individu'!F447,Index!F$15:F$40)*Index!$E$6</f>
        <v>0</v>
      </c>
      <c r="M447" s="44">
        <f>SUMIF(Index!$H$15:$H$40,'perhitungan individu'!$G447,Index!$I$15:$I$40)*Index!$E$7</f>
        <v>0</v>
      </c>
      <c r="N447" s="44">
        <f>SUMIF(Index!$K$15:$K$40,'perhitungan individu'!$G447,Index!$L$15:$L$40)*Index!$E$8</f>
        <v>0</v>
      </c>
      <c r="O447" s="44">
        <f>SUMIF(Index!$M$15:$M$40,'perhitungan individu'!H447,Index!$N$15:$N$40)*Index!$E$9</f>
        <v>0</v>
      </c>
      <c r="P447" s="44">
        <f>SUMIF('Kinera Unit Kerja'!$B$4:$B$20,'perhitungan individu'!$G447,'Kinera Unit Kerja'!$G$4:$G$20)*Index!$E$10</f>
        <v>0</v>
      </c>
      <c r="Q447" s="44">
        <f>I447*Index!$E$11</f>
        <v>0</v>
      </c>
      <c r="R447" s="47">
        <f t="shared" si="13"/>
        <v>0</v>
      </c>
      <c r="S447" s="48">
        <f t="shared" si="12"/>
        <v>0</v>
      </c>
    </row>
    <row r="448" spans="1:19">
      <c r="A448" s="42"/>
      <c r="B448" s="33"/>
      <c r="C448" s="33"/>
      <c r="D448" s="43"/>
      <c r="E448" s="33"/>
      <c r="F448" s="33"/>
      <c r="G448" s="33"/>
      <c r="H448" s="33"/>
      <c r="I448" s="33"/>
      <c r="J448" s="44">
        <f>(D448/100000)*Index!$E$4</f>
        <v>0</v>
      </c>
      <c r="K448" s="44">
        <f>SUMIF(Index!$C$15:$C$40,'perhitungan individu'!E448,Index!$D$15:$D$40)*Index!$E$5</f>
        <v>0</v>
      </c>
      <c r="L448" s="44">
        <f>SUMIF(Index!$E$15:$E$40,'perhitungan individu'!F448,Index!F$15:F$40)*Index!$E$6</f>
        <v>0</v>
      </c>
      <c r="M448" s="44">
        <f>SUMIF(Index!$H$15:$H$40,'perhitungan individu'!$G448,Index!$I$15:$I$40)*Index!$E$7</f>
        <v>0</v>
      </c>
      <c r="N448" s="44">
        <f>SUMIF(Index!$K$15:$K$40,'perhitungan individu'!$G448,Index!$L$15:$L$40)*Index!$E$8</f>
        <v>0</v>
      </c>
      <c r="O448" s="44">
        <f>SUMIF(Index!$M$15:$M$40,'perhitungan individu'!H448,Index!$N$15:$N$40)*Index!$E$9</f>
        <v>0</v>
      </c>
      <c r="P448" s="44">
        <f>SUMIF('Kinera Unit Kerja'!$B$4:$B$20,'perhitungan individu'!$G448,'Kinera Unit Kerja'!$G$4:$G$20)*Index!$E$10</f>
        <v>0</v>
      </c>
      <c r="Q448" s="44">
        <f>I448*Index!$E$11</f>
        <v>0</v>
      </c>
      <c r="R448" s="47">
        <f t="shared" si="13"/>
        <v>0</v>
      </c>
      <c r="S448" s="48">
        <f t="shared" si="12"/>
        <v>0</v>
      </c>
    </row>
    <row r="449" spans="1:19">
      <c r="A449" s="42"/>
      <c r="B449" s="33"/>
      <c r="C449" s="33"/>
      <c r="D449" s="43"/>
      <c r="E449" s="33"/>
      <c r="F449" s="33"/>
      <c r="G449" s="33"/>
      <c r="H449" s="33"/>
      <c r="I449" s="33"/>
      <c r="J449" s="44">
        <f>(D449/100000)*Index!$E$4</f>
        <v>0</v>
      </c>
      <c r="K449" s="44">
        <f>SUMIF(Index!$C$15:$C$40,'perhitungan individu'!E449,Index!$D$15:$D$40)*Index!$E$5</f>
        <v>0</v>
      </c>
      <c r="L449" s="44">
        <f>SUMIF(Index!$E$15:$E$40,'perhitungan individu'!F449,Index!F$15:F$40)*Index!$E$6</f>
        <v>0</v>
      </c>
      <c r="M449" s="44">
        <f>SUMIF(Index!$H$15:$H$40,'perhitungan individu'!$G449,Index!$I$15:$I$40)*Index!$E$7</f>
        <v>0</v>
      </c>
      <c r="N449" s="44">
        <f>SUMIF(Index!$K$15:$K$40,'perhitungan individu'!$G449,Index!$L$15:$L$40)*Index!$E$8</f>
        <v>0</v>
      </c>
      <c r="O449" s="44">
        <f>SUMIF(Index!$M$15:$M$40,'perhitungan individu'!H449,Index!$N$15:$N$40)*Index!$E$9</f>
        <v>0</v>
      </c>
      <c r="P449" s="44">
        <f>SUMIF('Kinera Unit Kerja'!$B$4:$B$20,'perhitungan individu'!$G449,'Kinera Unit Kerja'!$G$4:$G$20)*Index!$E$10</f>
        <v>0</v>
      </c>
      <c r="Q449" s="44">
        <f>I449*Index!$E$11</f>
        <v>0</v>
      </c>
      <c r="R449" s="47">
        <f t="shared" si="13"/>
        <v>0</v>
      </c>
      <c r="S449" s="48">
        <f t="shared" si="12"/>
        <v>0</v>
      </c>
    </row>
    <row r="450" spans="1:19">
      <c r="A450" s="42"/>
      <c r="B450" s="33"/>
      <c r="C450" s="33"/>
      <c r="D450" s="43"/>
      <c r="E450" s="33"/>
      <c r="F450" s="33"/>
      <c r="G450" s="33"/>
      <c r="H450" s="33"/>
      <c r="I450" s="33"/>
      <c r="J450" s="44">
        <f>(D450/100000)*Index!$E$4</f>
        <v>0</v>
      </c>
      <c r="K450" s="44">
        <f>SUMIF(Index!$C$15:$C$40,'perhitungan individu'!E450,Index!$D$15:$D$40)*Index!$E$5</f>
        <v>0</v>
      </c>
      <c r="L450" s="44">
        <f>SUMIF(Index!$E$15:$E$40,'perhitungan individu'!F450,Index!F$15:F$40)*Index!$E$6</f>
        <v>0</v>
      </c>
      <c r="M450" s="44">
        <f>SUMIF(Index!$H$15:$H$40,'perhitungan individu'!$G450,Index!$I$15:$I$40)*Index!$E$7</f>
        <v>0</v>
      </c>
      <c r="N450" s="44">
        <f>SUMIF(Index!$K$15:$K$40,'perhitungan individu'!$G450,Index!$L$15:$L$40)*Index!$E$8</f>
        <v>0</v>
      </c>
      <c r="O450" s="44">
        <f>SUMIF(Index!$M$15:$M$40,'perhitungan individu'!H450,Index!$N$15:$N$40)*Index!$E$9</f>
        <v>0</v>
      </c>
      <c r="P450" s="44">
        <f>SUMIF('Kinera Unit Kerja'!$B$4:$B$20,'perhitungan individu'!$G450,'Kinera Unit Kerja'!$G$4:$G$20)*Index!$E$10</f>
        <v>0</v>
      </c>
      <c r="Q450" s="44">
        <f>I450*Index!$E$11</f>
        <v>0</v>
      </c>
      <c r="R450" s="47">
        <f t="shared" si="13"/>
        <v>0</v>
      </c>
      <c r="S450" s="48">
        <f t="shared" si="12"/>
        <v>0</v>
      </c>
    </row>
    <row r="451" spans="1:19">
      <c r="A451" s="42"/>
      <c r="B451" s="33"/>
      <c r="C451" s="33"/>
      <c r="D451" s="43"/>
      <c r="E451" s="33"/>
      <c r="F451" s="33"/>
      <c r="G451" s="33"/>
      <c r="H451" s="33"/>
      <c r="I451" s="33"/>
      <c r="J451" s="44">
        <f>(D451/100000)*Index!$E$4</f>
        <v>0</v>
      </c>
      <c r="K451" s="44">
        <f>SUMIF(Index!$C$15:$C$40,'perhitungan individu'!E451,Index!$D$15:$D$40)*Index!$E$5</f>
        <v>0</v>
      </c>
      <c r="L451" s="44">
        <f>SUMIF(Index!$E$15:$E$40,'perhitungan individu'!F451,Index!F$15:F$40)*Index!$E$6</f>
        <v>0</v>
      </c>
      <c r="M451" s="44">
        <f>SUMIF(Index!$H$15:$H$40,'perhitungan individu'!$G451,Index!$I$15:$I$40)*Index!$E$7</f>
        <v>0</v>
      </c>
      <c r="N451" s="44">
        <f>SUMIF(Index!$K$15:$K$40,'perhitungan individu'!$G451,Index!$L$15:$L$40)*Index!$E$8</f>
        <v>0</v>
      </c>
      <c r="O451" s="44">
        <f>SUMIF(Index!$M$15:$M$40,'perhitungan individu'!H451,Index!$N$15:$N$40)*Index!$E$9</f>
        <v>0</v>
      </c>
      <c r="P451" s="44">
        <f>SUMIF('Kinera Unit Kerja'!$B$4:$B$20,'perhitungan individu'!$G451,'Kinera Unit Kerja'!$G$4:$G$20)*Index!$E$10</f>
        <v>0</v>
      </c>
      <c r="Q451" s="44">
        <f>I451*Index!$E$11</f>
        <v>0</v>
      </c>
      <c r="R451" s="47">
        <f t="shared" si="13"/>
        <v>0</v>
      </c>
      <c r="S451" s="48">
        <f t="shared" si="12"/>
        <v>0</v>
      </c>
    </row>
    <row r="452" spans="1:19">
      <c r="A452" s="42"/>
      <c r="B452" s="33"/>
      <c r="C452" s="33"/>
      <c r="D452" s="43"/>
      <c r="E452" s="33"/>
      <c r="F452" s="33"/>
      <c r="G452" s="33"/>
      <c r="H452" s="33"/>
      <c r="I452" s="33"/>
      <c r="J452" s="44">
        <f>(D452/100000)*Index!$E$4</f>
        <v>0</v>
      </c>
      <c r="K452" s="44">
        <f>SUMIF(Index!$C$15:$C$40,'perhitungan individu'!E452,Index!$D$15:$D$40)*Index!$E$5</f>
        <v>0</v>
      </c>
      <c r="L452" s="44">
        <f>SUMIF(Index!$E$15:$E$40,'perhitungan individu'!F452,Index!F$15:F$40)*Index!$E$6</f>
        <v>0</v>
      </c>
      <c r="M452" s="44">
        <f>SUMIF(Index!$H$15:$H$40,'perhitungan individu'!$G452,Index!$I$15:$I$40)*Index!$E$7</f>
        <v>0</v>
      </c>
      <c r="N452" s="44">
        <f>SUMIF(Index!$K$15:$K$40,'perhitungan individu'!$G452,Index!$L$15:$L$40)*Index!$E$8</f>
        <v>0</v>
      </c>
      <c r="O452" s="44">
        <f>SUMIF(Index!$M$15:$M$40,'perhitungan individu'!H452,Index!$N$15:$N$40)*Index!$E$9</f>
        <v>0</v>
      </c>
      <c r="P452" s="44">
        <f>SUMIF('Kinera Unit Kerja'!$B$4:$B$20,'perhitungan individu'!$G452,'Kinera Unit Kerja'!$G$4:$G$20)*Index!$E$10</f>
        <v>0</v>
      </c>
      <c r="Q452" s="44">
        <f>I452*Index!$E$11</f>
        <v>0</v>
      </c>
      <c r="R452" s="47">
        <f t="shared" si="13"/>
        <v>0</v>
      </c>
      <c r="S452" s="48">
        <f t="shared" si="12"/>
        <v>0</v>
      </c>
    </row>
    <row r="453" spans="1:19">
      <c r="A453" s="42"/>
      <c r="B453" s="33"/>
      <c r="C453" s="33"/>
      <c r="D453" s="43"/>
      <c r="E453" s="33"/>
      <c r="F453" s="33"/>
      <c r="G453" s="33"/>
      <c r="H453" s="33"/>
      <c r="I453" s="33"/>
      <c r="J453" s="44">
        <f>(D453/100000)*Index!$E$4</f>
        <v>0</v>
      </c>
      <c r="K453" s="44">
        <f>SUMIF(Index!$C$15:$C$40,'perhitungan individu'!E453,Index!$D$15:$D$40)*Index!$E$5</f>
        <v>0</v>
      </c>
      <c r="L453" s="44">
        <f>SUMIF(Index!$E$15:$E$40,'perhitungan individu'!F453,Index!F$15:F$40)*Index!$E$6</f>
        <v>0</v>
      </c>
      <c r="M453" s="44">
        <f>SUMIF(Index!$H$15:$H$40,'perhitungan individu'!$G453,Index!$I$15:$I$40)*Index!$E$7</f>
        <v>0</v>
      </c>
      <c r="N453" s="44">
        <f>SUMIF(Index!$K$15:$K$40,'perhitungan individu'!$G453,Index!$L$15:$L$40)*Index!$E$8</f>
        <v>0</v>
      </c>
      <c r="O453" s="44">
        <f>SUMIF(Index!$M$15:$M$40,'perhitungan individu'!H453,Index!$N$15:$N$40)*Index!$E$9</f>
        <v>0</v>
      </c>
      <c r="P453" s="44">
        <f>SUMIF('Kinera Unit Kerja'!$B$4:$B$20,'perhitungan individu'!$G453,'Kinera Unit Kerja'!$G$4:$G$20)*Index!$E$10</f>
        <v>0</v>
      </c>
      <c r="Q453" s="44">
        <f>I453*Index!$E$11</f>
        <v>0</v>
      </c>
      <c r="R453" s="47">
        <f t="shared" si="13"/>
        <v>0</v>
      </c>
      <c r="S453" s="48">
        <f t="shared" si="12"/>
        <v>0</v>
      </c>
    </row>
    <row r="454" spans="1:19">
      <c r="A454" s="42"/>
      <c r="B454" s="33"/>
      <c r="C454" s="33"/>
      <c r="D454" s="43"/>
      <c r="E454" s="33"/>
      <c r="F454" s="33"/>
      <c r="G454" s="33"/>
      <c r="H454" s="33"/>
      <c r="I454" s="33"/>
      <c r="J454" s="44">
        <f>(D454/100000)*Index!$E$4</f>
        <v>0</v>
      </c>
      <c r="K454" s="44">
        <f>SUMIF(Index!$C$15:$C$40,'perhitungan individu'!E454,Index!$D$15:$D$40)*Index!$E$5</f>
        <v>0</v>
      </c>
      <c r="L454" s="44">
        <f>SUMIF(Index!$E$15:$E$40,'perhitungan individu'!F454,Index!F$15:F$40)*Index!$E$6</f>
        <v>0</v>
      </c>
      <c r="M454" s="44">
        <f>SUMIF(Index!$H$15:$H$40,'perhitungan individu'!$G454,Index!$I$15:$I$40)*Index!$E$7</f>
        <v>0</v>
      </c>
      <c r="N454" s="44">
        <f>SUMIF(Index!$K$15:$K$40,'perhitungan individu'!$G454,Index!$L$15:$L$40)*Index!$E$8</f>
        <v>0</v>
      </c>
      <c r="O454" s="44">
        <f>SUMIF(Index!$M$15:$M$40,'perhitungan individu'!H454,Index!$N$15:$N$40)*Index!$E$9</f>
        <v>0</v>
      </c>
      <c r="P454" s="44">
        <f>SUMIF('Kinera Unit Kerja'!$B$4:$B$20,'perhitungan individu'!$G454,'Kinera Unit Kerja'!$G$4:$G$20)*Index!$E$10</f>
        <v>0</v>
      </c>
      <c r="Q454" s="44">
        <f>I454*Index!$E$11</f>
        <v>0</v>
      </c>
      <c r="R454" s="47">
        <f t="shared" si="13"/>
        <v>0</v>
      </c>
      <c r="S454" s="48">
        <f t="shared" si="12"/>
        <v>0</v>
      </c>
    </row>
    <row r="455" spans="1:19">
      <c r="A455" s="42"/>
      <c r="B455" s="33"/>
      <c r="C455" s="33"/>
      <c r="D455" s="43"/>
      <c r="E455" s="33"/>
      <c r="F455" s="33"/>
      <c r="G455" s="33"/>
      <c r="H455" s="33"/>
      <c r="I455" s="33"/>
      <c r="J455" s="44">
        <f>(D455/100000)*Index!$E$4</f>
        <v>0</v>
      </c>
      <c r="K455" s="44">
        <f>SUMIF(Index!$C$15:$C$40,'perhitungan individu'!E455,Index!$D$15:$D$40)*Index!$E$5</f>
        <v>0</v>
      </c>
      <c r="L455" s="44">
        <f>SUMIF(Index!$E$15:$E$40,'perhitungan individu'!F455,Index!F$15:F$40)*Index!$E$6</f>
        <v>0</v>
      </c>
      <c r="M455" s="44">
        <f>SUMIF(Index!$H$15:$H$40,'perhitungan individu'!$G455,Index!$I$15:$I$40)*Index!$E$7</f>
        <v>0</v>
      </c>
      <c r="N455" s="44">
        <f>SUMIF(Index!$K$15:$K$40,'perhitungan individu'!$G455,Index!$L$15:$L$40)*Index!$E$8</f>
        <v>0</v>
      </c>
      <c r="O455" s="44">
        <f>SUMIF(Index!$M$15:$M$40,'perhitungan individu'!H455,Index!$N$15:$N$40)*Index!$E$9</f>
        <v>0</v>
      </c>
      <c r="P455" s="44">
        <f>SUMIF('Kinera Unit Kerja'!$B$4:$B$20,'perhitungan individu'!$G455,'Kinera Unit Kerja'!$G$4:$G$20)*Index!$E$10</f>
        <v>0</v>
      </c>
      <c r="Q455" s="44">
        <f>I455*Index!$E$11</f>
        <v>0</v>
      </c>
      <c r="R455" s="47">
        <f t="shared" si="13"/>
        <v>0</v>
      </c>
      <c r="S455" s="48">
        <f t="shared" si="12"/>
        <v>0</v>
      </c>
    </row>
    <row r="456" spans="1:19">
      <c r="A456" s="42"/>
      <c r="B456" s="33"/>
      <c r="C456" s="33"/>
      <c r="D456" s="43"/>
      <c r="E456" s="33"/>
      <c r="F456" s="33"/>
      <c r="G456" s="33"/>
      <c r="H456" s="33"/>
      <c r="I456" s="33"/>
      <c r="J456" s="44">
        <f>(D456/100000)*Index!$E$4</f>
        <v>0</v>
      </c>
      <c r="K456" s="44">
        <f>SUMIF(Index!$C$15:$C$40,'perhitungan individu'!E456,Index!$D$15:$D$40)*Index!$E$5</f>
        <v>0</v>
      </c>
      <c r="L456" s="44">
        <f>SUMIF(Index!$E$15:$E$40,'perhitungan individu'!F456,Index!F$15:F$40)*Index!$E$6</f>
        <v>0</v>
      </c>
      <c r="M456" s="44">
        <f>SUMIF(Index!$H$15:$H$40,'perhitungan individu'!$G456,Index!$I$15:$I$40)*Index!$E$7</f>
        <v>0</v>
      </c>
      <c r="N456" s="44">
        <f>SUMIF(Index!$K$15:$K$40,'perhitungan individu'!$G456,Index!$L$15:$L$40)*Index!$E$8</f>
        <v>0</v>
      </c>
      <c r="O456" s="44">
        <f>SUMIF(Index!$M$15:$M$40,'perhitungan individu'!H456,Index!$N$15:$N$40)*Index!$E$9</f>
        <v>0</v>
      </c>
      <c r="P456" s="44">
        <f>SUMIF('Kinera Unit Kerja'!$B$4:$B$20,'perhitungan individu'!$G456,'Kinera Unit Kerja'!$G$4:$G$20)*Index!$E$10</f>
        <v>0</v>
      </c>
      <c r="Q456" s="44">
        <f>I456*Index!$E$11</f>
        <v>0</v>
      </c>
      <c r="R456" s="47">
        <f t="shared" si="13"/>
        <v>0</v>
      </c>
      <c r="S456" s="48">
        <f t="shared" si="12"/>
        <v>0</v>
      </c>
    </row>
    <row r="457" spans="1:19">
      <c r="A457" s="42"/>
      <c r="B457" s="33"/>
      <c r="C457" s="33"/>
      <c r="D457" s="43"/>
      <c r="E457" s="33"/>
      <c r="F457" s="33"/>
      <c r="G457" s="33"/>
      <c r="H457" s="33"/>
      <c r="I457" s="33"/>
      <c r="J457" s="44">
        <f>(D457/100000)*Index!$E$4</f>
        <v>0</v>
      </c>
      <c r="K457" s="44">
        <f>SUMIF(Index!$C$15:$C$40,'perhitungan individu'!E457,Index!$D$15:$D$40)*Index!$E$5</f>
        <v>0</v>
      </c>
      <c r="L457" s="44">
        <f>SUMIF(Index!$E$15:$E$40,'perhitungan individu'!F457,Index!F$15:F$40)*Index!$E$6</f>
        <v>0</v>
      </c>
      <c r="M457" s="44">
        <f>SUMIF(Index!$H$15:$H$40,'perhitungan individu'!$G457,Index!$I$15:$I$40)*Index!$E$7</f>
        <v>0</v>
      </c>
      <c r="N457" s="44">
        <f>SUMIF(Index!$K$15:$K$40,'perhitungan individu'!$G457,Index!$L$15:$L$40)*Index!$E$8</f>
        <v>0</v>
      </c>
      <c r="O457" s="44">
        <f>SUMIF(Index!$M$15:$M$40,'perhitungan individu'!H457,Index!$N$15:$N$40)*Index!$E$9</f>
        <v>0</v>
      </c>
      <c r="P457" s="44">
        <f>SUMIF('Kinera Unit Kerja'!$B$4:$B$20,'perhitungan individu'!$G457,'Kinera Unit Kerja'!$G$4:$G$20)*Index!$E$10</f>
        <v>0</v>
      </c>
      <c r="Q457" s="44">
        <f>I457*Index!$E$11</f>
        <v>0</v>
      </c>
      <c r="R457" s="47">
        <f t="shared" si="13"/>
        <v>0</v>
      </c>
      <c r="S457" s="48">
        <f t="shared" si="12"/>
        <v>0</v>
      </c>
    </row>
    <row r="458" spans="1:19">
      <c r="A458" s="42"/>
      <c r="B458" s="33"/>
      <c r="C458" s="33"/>
      <c r="D458" s="43"/>
      <c r="E458" s="33"/>
      <c r="F458" s="33"/>
      <c r="G458" s="33"/>
      <c r="H458" s="33"/>
      <c r="I458" s="33"/>
      <c r="J458" s="44">
        <f>(D458/100000)*Index!$E$4</f>
        <v>0</v>
      </c>
      <c r="K458" s="44">
        <f>SUMIF(Index!$C$15:$C$40,'perhitungan individu'!E458,Index!$D$15:$D$40)*Index!$E$5</f>
        <v>0</v>
      </c>
      <c r="L458" s="44">
        <f>SUMIF(Index!$E$15:$E$40,'perhitungan individu'!F458,Index!F$15:F$40)*Index!$E$6</f>
        <v>0</v>
      </c>
      <c r="M458" s="44">
        <f>SUMIF(Index!$H$15:$H$40,'perhitungan individu'!$G458,Index!$I$15:$I$40)*Index!$E$7</f>
        <v>0</v>
      </c>
      <c r="N458" s="44">
        <f>SUMIF(Index!$K$15:$K$40,'perhitungan individu'!$G458,Index!$L$15:$L$40)*Index!$E$8</f>
        <v>0</v>
      </c>
      <c r="O458" s="44">
        <f>SUMIF(Index!$M$15:$M$40,'perhitungan individu'!H458,Index!$N$15:$N$40)*Index!$E$9</f>
        <v>0</v>
      </c>
      <c r="P458" s="44">
        <f>SUMIF('Kinera Unit Kerja'!$B$4:$B$20,'perhitungan individu'!$G458,'Kinera Unit Kerja'!$G$4:$G$20)*Index!$E$10</f>
        <v>0</v>
      </c>
      <c r="Q458" s="44">
        <f>I458*Index!$E$11</f>
        <v>0</v>
      </c>
      <c r="R458" s="47">
        <f t="shared" si="13"/>
        <v>0</v>
      </c>
      <c r="S458" s="48">
        <f t="shared" si="12"/>
        <v>0</v>
      </c>
    </row>
    <row r="459" spans="1:19">
      <c r="A459" s="42"/>
      <c r="B459" s="33"/>
      <c r="C459" s="33"/>
      <c r="D459" s="43"/>
      <c r="E459" s="33"/>
      <c r="F459" s="33"/>
      <c r="G459" s="33"/>
      <c r="H459" s="33"/>
      <c r="I459" s="33"/>
      <c r="J459" s="44">
        <f>(D459/100000)*Index!$E$4</f>
        <v>0</v>
      </c>
      <c r="K459" s="44">
        <f>SUMIF(Index!$C$15:$C$40,'perhitungan individu'!E459,Index!$D$15:$D$40)*Index!$E$5</f>
        <v>0</v>
      </c>
      <c r="L459" s="44">
        <f>SUMIF(Index!$E$15:$E$40,'perhitungan individu'!F459,Index!F$15:F$40)*Index!$E$6</f>
        <v>0</v>
      </c>
      <c r="M459" s="44">
        <f>SUMIF(Index!$H$15:$H$40,'perhitungan individu'!$G459,Index!$I$15:$I$40)*Index!$E$7</f>
        <v>0</v>
      </c>
      <c r="N459" s="44">
        <f>SUMIF(Index!$K$15:$K$40,'perhitungan individu'!$G459,Index!$L$15:$L$40)*Index!$E$8</f>
        <v>0</v>
      </c>
      <c r="O459" s="44">
        <f>SUMIF(Index!$M$15:$M$40,'perhitungan individu'!H459,Index!$N$15:$N$40)*Index!$E$9</f>
        <v>0</v>
      </c>
      <c r="P459" s="44">
        <f>SUMIF('Kinera Unit Kerja'!$B$4:$B$20,'perhitungan individu'!$G459,'Kinera Unit Kerja'!$G$4:$G$20)*Index!$E$10</f>
        <v>0</v>
      </c>
      <c r="Q459" s="44">
        <f>I459*Index!$E$11</f>
        <v>0</v>
      </c>
      <c r="R459" s="47">
        <f t="shared" si="13"/>
        <v>0</v>
      </c>
      <c r="S459" s="48">
        <f t="shared" si="12"/>
        <v>0</v>
      </c>
    </row>
    <row r="460" spans="1:19">
      <c r="A460" s="42"/>
      <c r="B460" s="33"/>
      <c r="C460" s="33"/>
      <c r="D460" s="43"/>
      <c r="E460" s="33"/>
      <c r="F460" s="33"/>
      <c r="G460" s="33"/>
      <c r="H460" s="33"/>
      <c r="I460" s="33"/>
      <c r="J460" s="44">
        <f>(D460/100000)*Index!$E$4</f>
        <v>0</v>
      </c>
      <c r="K460" s="44">
        <f>SUMIF(Index!$C$15:$C$40,'perhitungan individu'!E460,Index!$D$15:$D$40)*Index!$E$5</f>
        <v>0</v>
      </c>
      <c r="L460" s="44">
        <f>SUMIF(Index!$E$15:$E$40,'perhitungan individu'!F460,Index!F$15:F$40)*Index!$E$6</f>
        <v>0</v>
      </c>
      <c r="M460" s="44">
        <f>SUMIF(Index!$H$15:$H$40,'perhitungan individu'!$G460,Index!$I$15:$I$40)*Index!$E$7</f>
        <v>0</v>
      </c>
      <c r="N460" s="44">
        <f>SUMIF(Index!$K$15:$K$40,'perhitungan individu'!$G460,Index!$L$15:$L$40)*Index!$E$8</f>
        <v>0</v>
      </c>
      <c r="O460" s="44">
        <f>SUMIF(Index!$M$15:$M$40,'perhitungan individu'!H460,Index!$N$15:$N$40)*Index!$E$9</f>
        <v>0</v>
      </c>
      <c r="P460" s="44">
        <f>SUMIF('Kinera Unit Kerja'!$B$4:$B$20,'perhitungan individu'!$G460,'Kinera Unit Kerja'!$G$4:$G$20)*Index!$E$10</f>
        <v>0</v>
      </c>
      <c r="Q460" s="44">
        <f>I460*Index!$E$11</f>
        <v>0</v>
      </c>
      <c r="R460" s="47">
        <f t="shared" si="13"/>
        <v>0</v>
      </c>
      <c r="S460" s="48">
        <f t="shared" si="12"/>
        <v>0</v>
      </c>
    </row>
    <row r="461" spans="1:19">
      <c r="A461" s="42"/>
      <c r="B461" s="33"/>
      <c r="C461" s="33"/>
      <c r="D461" s="43"/>
      <c r="E461" s="33"/>
      <c r="F461" s="33"/>
      <c r="G461" s="33"/>
      <c r="H461" s="33"/>
      <c r="I461" s="33"/>
      <c r="J461" s="44">
        <f>(D461/100000)*Index!$E$4</f>
        <v>0</v>
      </c>
      <c r="K461" s="44">
        <f>SUMIF(Index!$C$15:$C$40,'perhitungan individu'!E461,Index!$D$15:$D$40)*Index!$E$5</f>
        <v>0</v>
      </c>
      <c r="L461" s="44">
        <f>SUMIF(Index!$E$15:$E$40,'perhitungan individu'!F461,Index!F$15:F$40)*Index!$E$6</f>
        <v>0</v>
      </c>
      <c r="M461" s="44">
        <f>SUMIF(Index!$H$15:$H$40,'perhitungan individu'!$G461,Index!$I$15:$I$40)*Index!$E$7</f>
        <v>0</v>
      </c>
      <c r="N461" s="44">
        <f>SUMIF(Index!$K$15:$K$40,'perhitungan individu'!$G461,Index!$L$15:$L$40)*Index!$E$8</f>
        <v>0</v>
      </c>
      <c r="O461" s="44">
        <f>SUMIF(Index!$M$15:$M$40,'perhitungan individu'!H461,Index!$N$15:$N$40)*Index!$E$9</f>
        <v>0</v>
      </c>
      <c r="P461" s="44">
        <f>SUMIF('Kinera Unit Kerja'!$B$4:$B$20,'perhitungan individu'!$G461,'Kinera Unit Kerja'!$G$4:$G$20)*Index!$E$10</f>
        <v>0</v>
      </c>
      <c r="Q461" s="44">
        <f>I461*Index!$E$11</f>
        <v>0</v>
      </c>
      <c r="R461" s="47">
        <f t="shared" si="13"/>
        <v>0</v>
      </c>
      <c r="S461" s="48">
        <f t="shared" si="12"/>
        <v>0</v>
      </c>
    </row>
    <row r="462" spans="1:19">
      <c r="A462" s="42"/>
      <c r="B462" s="33"/>
      <c r="C462" s="33"/>
      <c r="D462" s="43"/>
      <c r="E462" s="33"/>
      <c r="F462" s="33"/>
      <c r="G462" s="33"/>
      <c r="H462" s="33"/>
      <c r="I462" s="33"/>
      <c r="J462" s="44">
        <f>(D462/100000)*Index!$E$4</f>
        <v>0</v>
      </c>
      <c r="K462" s="44">
        <f>SUMIF(Index!$C$15:$C$40,'perhitungan individu'!E462,Index!$D$15:$D$40)*Index!$E$5</f>
        <v>0</v>
      </c>
      <c r="L462" s="44">
        <f>SUMIF(Index!$E$15:$E$40,'perhitungan individu'!F462,Index!F$15:F$40)*Index!$E$6</f>
        <v>0</v>
      </c>
      <c r="M462" s="44">
        <f>SUMIF(Index!$H$15:$H$40,'perhitungan individu'!$G462,Index!$I$15:$I$40)*Index!$E$7</f>
        <v>0</v>
      </c>
      <c r="N462" s="44">
        <f>SUMIF(Index!$K$15:$K$40,'perhitungan individu'!$G462,Index!$L$15:$L$40)*Index!$E$8</f>
        <v>0</v>
      </c>
      <c r="O462" s="44">
        <f>SUMIF(Index!$M$15:$M$40,'perhitungan individu'!H462,Index!$N$15:$N$40)*Index!$E$9</f>
        <v>0</v>
      </c>
      <c r="P462" s="44">
        <f>SUMIF('Kinera Unit Kerja'!$B$4:$B$20,'perhitungan individu'!$G462,'Kinera Unit Kerja'!$G$4:$G$20)*Index!$E$10</f>
        <v>0</v>
      </c>
      <c r="Q462" s="44">
        <f>I462*Index!$E$11</f>
        <v>0</v>
      </c>
      <c r="R462" s="47">
        <f t="shared" si="13"/>
        <v>0</v>
      </c>
      <c r="S462" s="48">
        <f t="shared" si="12"/>
        <v>0</v>
      </c>
    </row>
    <row r="463" spans="1:19">
      <c r="A463" s="42"/>
      <c r="B463" s="33"/>
      <c r="C463" s="33"/>
      <c r="D463" s="43"/>
      <c r="E463" s="33"/>
      <c r="F463" s="33"/>
      <c r="G463" s="33"/>
      <c r="H463" s="33"/>
      <c r="I463" s="33"/>
      <c r="J463" s="44">
        <f>(D463/100000)*Index!$E$4</f>
        <v>0</v>
      </c>
      <c r="K463" s="44">
        <f>SUMIF(Index!$C$15:$C$40,'perhitungan individu'!E463,Index!$D$15:$D$40)*Index!$E$5</f>
        <v>0</v>
      </c>
      <c r="L463" s="44">
        <f>SUMIF(Index!$E$15:$E$40,'perhitungan individu'!F463,Index!F$15:F$40)*Index!$E$6</f>
        <v>0</v>
      </c>
      <c r="M463" s="44">
        <f>SUMIF(Index!$H$15:$H$40,'perhitungan individu'!$G463,Index!$I$15:$I$40)*Index!$E$7</f>
        <v>0</v>
      </c>
      <c r="N463" s="44">
        <f>SUMIF(Index!$K$15:$K$40,'perhitungan individu'!$G463,Index!$L$15:$L$40)*Index!$E$8</f>
        <v>0</v>
      </c>
      <c r="O463" s="44">
        <f>SUMIF(Index!$M$15:$M$40,'perhitungan individu'!H463,Index!$N$15:$N$40)*Index!$E$9</f>
        <v>0</v>
      </c>
      <c r="P463" s="44">
        <f>SUMIF('Kinera Unit Kerja'!$B$4:$B$20,'perhitungan individu'!$G463,'Kinera Unit Kerja'!$G$4:$G$20)*Index!$E$10</f>
        <v>0</v>
      </c>
      <c r="Q463" s="44">
        <f>I463*Index!$E$11</f>
        <v>0</v>
      </c>
      <c r="R463" s="47">
        <f t="shared" si="13"/>
        <v>0</v>
      </c>
      <c r="S463" s="48">
        <f t="shared" si="12"/>
        <v>0</v>
      </c>
    </row>
    <row r="464" spans="1:19">
      <c r="A464" s="42"/>
      <c r="B464" s="33"/>
      <c r="C464" s="33"/>
      <c r="D464" s="43"/>
      <c r="E464" s="33"/>
      <c r="F464" s="33"/>
      <c r="G464" s="33"/>
      <c r="H464" s="33"/>
      <c r="I464" s="33"/>
      <c r="J464" s="44">
        <f>(D464/100000)*Index!$E$4</f>
        <v>0</v>
      </c>
      <c r="K464" s="44">
        <f>SUMIF(Index!$C$15:$C$40,'perhitungan individu'!E464,Index!$D$15:$D$40)*Index!$E$5</f>
        <v>0</v>
      </c>
      <c r="L464" s="44">
        <f>SUMIF(Index!$E$15:$E$40,'perhitungan individu'!F464,Index!F$15:F$40)*Index!$E$6</f>
        <v>0</v>
      </c>
      <c r="M464" s="44">
        <f>SUMIF(Index!$H$15:$H$40,'perhitungan individu'!$G464,Index!$I$15:$I$40)*Index!$E$7</f>
        <v>0</v>
      </c>
      <c r="N464" s="44">
        <f>SUMIF(Index!$K$15:$K$40,'perhitungan individu'!$G464,Index!$L$15:$L$40)*Index!$E$8</f>
        <v>0</v>
      </c>
      <c r="O464" s="44">
        <f>SUMIF(Index!$M$15:$M$40,'perhitungan individu'!H464,Index!$N$15:$N$40)*Index!$E$9</f>
        <v>0</v>
      </c>
      <c r="P464" s="44">
        <f>SUMIF('Kinera Unit Kerja'!$B$4:$B$20,'perhitungan individu'!$G464,'Kinera Unit Kerja'!$G$4:$G$20)*Index!$E$10</f>
        <v>0</v>
      </c>
      <c r="Q464" s="44">
        <f>I464*Index!$E$11</f>
        <v>0</v>
      </c>
      <c r="R464" s="47">
        <f t="shared" si="13"/>
        <v>0</v>
      </c>
      <c r="S464" s="48">
        <f t="shared" si="12"/>
        <v>0</v>
      </c>
    </row>
    <row r="465" spans="1:19">
      <c r="A465" s="42"/>
      <c r="B465" s="33"/>
      <c r="C465" s="33"/>
      <c r="D465" s="43"/>
      <c r="E465" s="33"/>
      <c r="F465" s="33"/>
      <c r="G465" s="33"/>
      <c r="H465" s="33"/>
      <c r="I465" s="33"/>
      <c r="J465" s="44">
        <f>(D465/100000)*Index!$E$4</f>
        <v>0</v>
      </c>
      <c r="K465" s="44">
        <f>SUMIF(Index!$C$15:$C$40,'perhitungan individu'!E465,Index!$D$15:$D$40)*Index!$E$5</f>
        <v>0</v>
      </c>
      <c r="L465" s="44">
        <f>SUMIF(Index!$E$15:$E$40,'perhitungan individu'!F465,Index!F$15:F$40)*Index!$E$6</f>
        <v>0</v>
      </c>
      <c r="M465" s="44">
        <f>SUMIF(Index!$H$15:$H$40,'perhitungan individu'!$G465,Index!$I$15:$I$40)*Index!$E$7</f>
        <v>0</v>
      </c>
      <c r="N465" s="44">
        <f>SUMIF(Index!$K$15:$K$40,'perhitungan individu'!$G465,Index!$L$15:$L$40)*Index!$E$8</f>
        <v>0</v>
      </c>
      <c r="O465" s="44">
        <f>SUMIF(Index!$M$15:$M$40,'perhitungan individu'!H465,Index!$N$15:$N$40)*Index!$E$9</f>
        <v>0</v>
      </c>
      <c r="P465" s="44">
        <f>SUMIF('Kinera Unit Kerja'!$B$4:$B$20,'perhitungan individu'!$G465,'Kinera Unit Kerja'!$G$4:$G$20)*Index!$E$10</f>
        <v>0</v>
      </c>
      <c r="Q465" s="44">
        <f>I465*Index!$E$11</f>
        <v>0</v>
      </c>
      <c r="R465" s="47">
        <f t="shared" si="13"/>
        <v>0</v>
      </c>
      <c r="S465" s="48">
        <f t="shared" si="12"/>
        <v>0</v>
      </c>
    </row>
    <row r="466" spans="1:19">
      <c r="A466" s="42"/>
      <c r="B466" s="33"/>
      <c r="C466" s="33"/>
      <c r="D466" s="43"/>
      <c r="E466" s="33"/>
      <c r="F466" s="33"/>
      <c r="G466" s="33"/>
      <c r="H466" s="33"/>
      <c r="I466" s="33"/>
      <c r="J466" s="44">
        <f>(D466/100000)*Index!$E$4</f>
        <v>0</v>
      </c>
      <c r="K466" s="44">
        <f>SUMIF(Index!$C$15:$C$40,'perhitungan individu'!E466,Index!$D$15:$D$40)*Index!$E$5</f>
        <v>0</v>
      </c>
      <c r="L466" s="44">
        <f>SUMIF(Index!$E$15:$E$40,'perhitungan individu'!F466,Index!F$15:F$40)*Index!$E$6</f>
        <v>0</v>
      </c>
      <c r="M466" s="44">
        <f>SUMIF(Index!$H$15:$H$40,'perhitungan individu'!$G466,Index!$I$15:$I$40)*Index!$E$7</f>
        <v>0</v>
      </c>
      <c r="N466" s="44">
        <f>SUMIF(Index!$K$15:$K$40,'perhitungan individu'!$G466,Index!$L$15:$L$40)*Index!$E$8</f>
        <v>0</v>
      </c>
      <c r="O466" s="44">
        <f>SUMIF(Index!$M$15:$M$40,'perhitungan individu'!H466,Index!$N$15:$N$40)*Index!$E$9</f>
        <v>0</v>
      </c>
      <c r="P466" s="44">
        <f>SUMIF('Kinera Unit Kerja'!$B$4:$B$20,'perhitungan individu'!$G466,'Kinera Unit Kerja'!$G$4:$G$20)*Index!$E$10</f>
        <v>0</v>
      </c>
      <c r="Q466" s="44">
        <f>I466*Index!$E$11</f>
        <v>0</v>
      </c>
      <c r="R466" s="47">
        <f t="shared" si="13"/>
        <v>0</v>
      </c>
      <c r="S466" s="48">
        <f t="shared" si="12"/>
        <v>0</v>
      </c>
    </row>
    <row r="467" spans="1:19">
      <c r="A467" s="42"/>
      <c r="B467" s="33"/>
      <c r="C467" s="33"/>
      <c r="D467" s="43"/>
      <c r="E467" s="33"/>
      <c r="F467" s="33"/>
      <c r="G467" s="33"/>
      <c r="H467" s="33"/>
      <c r="I467" s="33"/>
      <c r="J467" s="44">
        <f>(D467/100000)*Index!$E$4</f>
        <v>0</v>
      </c>
      <c r="K467" s="44">
        <f>SUMIF(Index!$C$15:$C$40,'perhitungan individu'!E467,Index!$D$15:$D$40)*Index!$E$5</f>
        <v>0</v>
      </c>
      <c r="L467" s="44">
        <f>SUMIF(Index!$E$15:$E$40,'perhitungan individu'!F467,Index!F$15:F$40)*Index!$E$6</f>
        <v>0</v>
      </c>
      <c r="M467" s="44">
        <f>SUMIF(Index!$H$15:$H$40,'perhitungan individu'!$G467,Index!$I$15:$I$40)*Index!$E$7</f>
        <v>0</v>
      </c>
      <c r="N467" s="44">
        <f>SUMIF(Index!$K$15:$K$40,'perhitungan individu'!$G467,Index!$L$15:$L$40)*Index!$E$8</f>
        <v>0</v>
      </c>
      <c r="O467" s="44">
        <f>SUMIF(Index!$M$15:$M$40,'perhitungan individu'!H467,Index!$N$15:$N$40)*Index!$E$9</f>
        <v>0</v>
      </c>
      <c r="P467" s="44">
        <f>SUMIF('Kinera Unit Kerja'!$B$4:$B$20,'perhitungan individu'!$G467,'Kinera Unit Kerja'!$G$4:$G$20)*Index!$E$10</f>
        <v>0</v>
      </c>
      <c r="Q467" s="44">
        <f>I467*Index!$E$11</f>
        <v>0</v>
      </c>
      <c r="R467" s="47">
        <f t="shared" si="13"/>
        <v>0</v>
      </c>
      <c r="S467" s="48">
        <f t="shared" si="12"/>
        <v>0</v>
      </c>
    </row>
    <row r="468" spans="1:19">
      <c r="A468" s="42"/>
      <c r="B468" s="33"/>
      <c r="C468" s="33"/>
      <c r="D468" s="43"/>
      <c r="E468" s="33"/>
      <c r="F468" s="33"/>
      <c r="G468" s="33"/>
      <c r="H468" s="33"/>
      <c r="I468" s="33"/>
      <c r="J468" s="44">
        <f>(D468/100000)*Index!$E$4</f>
        <v>0</v>
      </c>
      <c r="K468" s="44">
        <f>SUMIF(Index!$C$15:$C$40,'perhitungan individu'!E468,Index!$D$15:$D$40)*Index!$E$5</f>
        <v>0</v>
      </c>
      <c r="L468" s="44">
        <f>SUMIF(Index!$E$15:$E$40,'perhitungan individu'!F468,Index!F$15:F$40)*Index!$E$6</f>
        <v>0</v>
      </c>
      <c r="M468" s="44">
        <f>SUMIF(Index!$H$15:$H$40,'perhitungan individu'!$G468,Index!$I$15:$I$40)*Index!$E$7</f>
        <v>0</v>
      </c>
      <c r="N468" s="44">
        <f>SUMIF(Index!$K$15:$K$40,'perhitungan individu'!$G468,Index!$L$15:$L$40)*Index!$E$8</f>
        <v>0</v>
      </c>
      <c r="O468" s="44">
        <f>SUMIF(Index!$M$15:$M$40,'perhitungan individu'!H468,Index!$N$15:$N$40)*Index!$E$9</f>
        <v>0</v>
      </c>
      <c r="P468" s="44">
        <f>SUMIF('Kinera Unit Kerja'!$B$4:$B$20,'perhitungan individu'!$G468,'Kinera Unit Kerja'!$G$4:$G$20)*Index!$E$10</f>
        <v>0</v>
      </c>
      <c r="Q468" s="44">
        <f>I468*Index!$E$11</f>
        <v>0</v>
      </c>
      <c r="R468" s="47">
        <f t="shared" si="13"/>
        <v>0</v>
      </c>
      <c r="S468" s="48">
        <f t="shared" si="12"/>
        <v>0</v>
      </c>
    </row>
    <row r="469" spans="1:19">
      <c r="A469" s="42"/>
      <c r="B469" s="33"/>
      <c r="C469" s="33"/>
      <c r="D469" s="43"/>
      <c r="E469" s="33"/>
      <c r="F469" s="33"/>
      <c r="G469" s="33"/>
      <c r="H469" s="33"/>
      <c r="I469" s="33"/>
      <c r="J469" s="44">
        <f>(D469/100000)*Index!$E$4</f>
        <v>0</v>
      </c>
      <c r="K469" s="44">
        <f>SUMIF(Index!$C$15:$C$40,'perhitungan individu'!E469,Index!$D$15:$D$40)*Index!$E$5</f>
        <v>0</v>
      </c>
      <c r="L469" s="44">
        <f>SUMIF(Index!$E$15:$E$40,'perhitungan individu'!F469,Index!F$15:F$40)*Index!$E$6</f>
        <v>0</v>
      </c>
      <c r="M469" s="44">
        <f>SUMIF(Index!$H$15:$H$40,'perhitungan individu'!$G469,Index!$I$15:$I$40)*Index!$E$7</f>
        <v>0</v>
      </c>
      <c r="N469" s="44">
        <f>SUMIF(Index!$K$15:$K$40,'perhitungan individu'!$G469,Index!$L$15:$L$40)*Index!$E$8</f>
        <v>0</v>
      </c>
      <c r="O469" s="44">
        <f>SUMIF(Index!$M$15:$M$40,'perhitungan individu'!H469,Index!$N$15:$N$40)*Index!$E$9</f>
        <v>0</v>
      </c>
      <c r="P469" s="44">
        <f>SUMIF('Kinera Unit Kerja'!$B$4:$B$20,'perhitungan individu'!$G469,'Kinera Unit Kerja'!$G$4:$G$20)*Index!$E$10</f>
        <v>0</v>
      </c>
      <c r="Q469" s="44">
        <f>I469*Index!$E$11</f>
        <v>0</v>
      </c>
      <c r="R469" s="47">
        <f t="shared" si="13"/>
        <v>0</v>
      </c>
      <c r="S469" s="48">
        <f t="shared" si="12"/>
        <v>0</v>
      </c>
    </row>
    <row r="470" spans="1:19">
      <c r="A470" s="42"/>
      <c r="B470" s="33"/>
      <c r="C470" s="33"/>
      <c r="D470" s="43"/>
      <c r="E470" s="33"/>
      <c r="F470" s="33"/>
      <c r="G470" s="33"/>
      <c r="H470" s="33"/>
      <c r="I470" s="33"/>
      <c r="J470" s="44">
        <f>(D470/100000)*Index!$E$4</f>
        <v>0</v>
      </c>
      <c r="K470" s="44">
        <f>SUMIF(Index!$C$15:$C$40,'perhitungan individu'!E470,Index!$D$15:$D$40)*Index!$E$5</f>
        <v>0</v>
      </c>
      <c r="L470" s="44">
        <f>SUMIF(Index!$E$15:$E$40,'perhitungan individu'!F470,Index!F$15:F$40)*Index!$E$6</f>
        <v>0</v>
      </c>
      <c r="M470" s="44">
        <f>SUMIF(Index!$H$15:$H$40,'perhitungan individu'!$G470,Index!$I$15:$I$40)*Index!$E$7</f>
        <v>0</v>
      </c>
      <c r="N470" s="44">
        <f>SUMIF(Index!$K$15:$K$40,'perhitungan individu'!$G470,Index!$L$15:$L$40)*Index!$E$8</f>
        <v>0</v>
      </c>
      <c r="O470" s="44">
        <f>SUMIF(Index!$M$15:$M$40,'perhitungan individu'!H470,Index!$N$15:$N$40)*Index!$E$9</f>
        <v>0</v>
      </c>
      <c r="P470" s="44">
        <f>SUMIF('Kinera Unit Kerja'!$B$4:$B$20,'perhitungan individu'!$G470,'Kinera Unit Kerja'!$G$4:$G$20)*Index!$E$10</f>
        <v>0</v>
      </c>
      <c r="Q470" s="44">
        <f>I470*Index!$E$11</f>
        <v>0</v>
      </c>
      <c r="R470" s="47">
        <f t="shared" si="13"/>
        <v>0</v>
      </c>
      <c r="S470" s="48">
        <f t="shared" si="12"/>
        <v>0</v>
      </c>
    </row>
    <row r="471" spans="1:19">
      <c r="A471" s="42"/>
      <c r="B471" s="33"/>
      <c r="C471" s="33"/>
      <c r="D471" s="43"/>
      <c r="E471" s="33"/>
      <c r="F471" s="33"/>
      <c r="G471" s="33"/>
      <c r="H471" s="33"/>
      <c r="I471" s="33"/>
      <c r="J471" s="44">
        <f>(D471/100000)*Index!$E$4</f>
        <v>0</v>
      </c>
      <c r="K471" s="44">
        <f>SUMIF(Index!$C$15:$C$40,'perhitungan individu'!E471,Index!$D$15:$D$40)*Index!$E$5</f>
        <v>0</v>
      </c>
      <c r="L471" s="44">
        <f>SUMIF(Index!$E$15:$E$40,'perhitungan individu'!F471,Index!F$15:F$40)*Index!$E$6</f>
        <v>0</v>
      </c>
      <c r="M471" s="44">
        <f>SUMIF(Index!$H$15:$H$40,'perhitungan individu'!$G471,Index!$I$15:$I$40)*Index!$E$7</f>
        <v>0</v>
      </c>
      <c r="N471" s="44">
        <f>SUMIF(Index!$K$15:$K$40,'perhitungan individu'!$G471,Index!$L$15:$L$40)*Index!$E$8</f>
        <v>0</v>
      </c>
      <c r="O471" s="44">
        <f>SUMIF(Index!$M$15:$M$40,'perhitungan individu'!H471,Index!$N$15:$N$40)*Index!$E$9</f>
        <v>0</v>
      </c>
      <c r="P471" s="44">
        <f>SUMIF('Kinera Unit Kerja'!$B$4:$B$20,'perhitungan individu'!$G471,'Kinera Unit Kerja'!$G$4:$G$20)*Index!$E$10</f>
        <v>0</v>
      </c>
      <c r="Q471" s="44">
        <f>I471*Index!$E$11</f>
        <v>0</v>
      </c>
      <c r="R471" s="47">
        <f t="shared" si="13"/>
        <v>0</v>
      </c>
      <c r="S471" s="48">
        <f t="shared" si="12"/>
        <v>0</v>
      </c>
    </row>
    <row r="472" spans="1:19">
      <c r="A472" s="42"/>
      <c r="B472" s="33"/>
      <c r="C472" s="33"/>
      <c r="D472" s="43"/>
      <c r="E472" s="33"/>
      <c r="F472" s="33"/>
      <c r="G472" s="33"/>
      <c r="H472" s="33"/>
      <c r="I472" s="33"/>
      <c r="J472" s="44">
        <f>(D472/100000)*Index!$E$4</f>
        <v>0</v>
      </c>
      <c r="K472" s="44">
        <f>SUMIF(Index!$C$15:$C$40,'perhitungan individu'!E472,Index!$D$15:$D$40)*Index!$E$5</f>
        <v>0</v>
      </c>
      <c r="L472" s="44">
        <f>SUMIF(Index!$E$15:$E$40,'perhitungan individu'!F472,Index!F$15:F$40)*Index!$E$6</f>
        <v>0</v>
      </c>
      <c r="M472" s="44">
        <f>SUMIF(Index!$H$15:$H$40,'perhitungan individu'!$G472,Index!$I$15:$I$40)*Index!$E$7</f>
        <v>0</v>
      </c>
      <c r="N472" s="44">
        <f>SUMIF(Index!$K$15:$K$40,'perhitungan individu'!$G472,Index!$L$15:$L$40)*Index!$E$8</f>
        <v>0</v>
      </c>
      <c r="O472" s="44">
        <f>SUMIF(Index!$M$15:$M$40,'perhitungan individu'!H472,Index!$N$15:$N$40)*Index!$E$9</f>
        <v>0</v>
      </c>
      <c r="P472" s="44">
        <f>SUMIF('Kinera Unit Kerja'!$B$4:$B$20,'perhitungan individu'!$G472,'Kinera Unit Kerja'!$G$4:$G$20)*Index!$E$10</f>
        <v>0</v>
      </c>
      <c r="Q472" s="44">
        <f>I472*Index!$E$11</f>
        <v>0</v>
      </c>
      <c r="R472" s="47">
        <f t="shared" si="13"/>
        <v>0</v>
      </c>
      <c r="S472" s="48">
        <f t="shared" si="12"/>
        <v>0</v>
      </c>
    </row>
    <row r="473" spans="1:19">
      <c r="A473" s="42"/>
      <c r="B473" s="33"/>
      <c r="C473" s="33"/>
      <c r="D473" s="43"/>
      <c r="E473" s="33"/>
      <c r="F473" s="33"/>
      <c r="G473" s="33"/>
      <c r="H473" s="33"/>
      <c r="I473" s="33"/>
      <c r="J473" s="44">
        <f>(D473/100000)*Index!$E$4</f>
        <v>0</v>
      </c>
      <c r="K473" s="44">
        <f>SUMIF(Index!$C$15:$C$40,'perhitungan individu'!E473,Index!$D$15:$D$40)*Index!$E$5</f>
        <v>0</v>
      </c>
      <c r="L473" s="44">
        <f>SUMIF(Index!$E$15:$E$40,'perhitungan individu'!F473,Index!F$15:F$40)*Index!$E$6</f>
        <v>0</v>
      </c>
      <c r="M473" s="44">
        <f>SUMIF(Index!$H$15:$H$40,'perhitungan individu'!$G473,Index!$I$15:$I$40)*Index!$E$7</f>
        <v>0</v>
      </c>
      <c r="N473" s="44">
        <f>SUMIF(Index!$K$15:$K$40,'perhitungan individu'!$G473,Index!$L$15:$L$40)*Index!$E$8</f>
        <v>0</v>
      </c>
      <c r="O473" s="44">
        <f>SUMIF(Index!$M$15:$M$40,'perhitungan individu'!H473,Index!$N$15:$N$40)*Index!$E$9</f>
        <v>0</v>
      </c>
      <c r="P473" s="44">
        <f>SUMIF('Kinera Unit Kerja'!$B$4:$B$20,'perhitungan individu'!$G473,'Kinera Unit Kerja'!$G$4:$G$20)*Index!$E$10</f>
        <v>0</v>
      </c>
      <c r="Q473" s="44">
        <f>I473*Index!$E$11</f>
        <v>0</v>
      </c>
      <c r="R473" s="47">
        <f t="shared" si="13"/>
        <v>0</v>
      </c>
      <c r="S473" s="48">
        <f t="shared" si="12"/>
        <v>0</v>
      </c>
    </row>
    <row r="474" spans="1:19">
      <c r="A474" s="42"/>
      <c r="B474" s="33"/>
      <c r="C474" s="33"/>
      <c r="D474" s="43"/>
      <c r="E474" s="33"/>
      <c r="F474" s="33"/>
      <c r="G474" s="33"/>
      <c r="H474" s="33"/>
      <c r="I474" s="33"/>
      <c r="J474" s="44">
        <f>(D474/100000)*Index!$E$4</f>
        <v>0</v>
      </c>
      <c r="K474" s="44">
        <f>SUMIF(Index!$C$15:$C$40,'perhitungan individu'!E474,Index!$D$15:$D$40)*Index!$E$5</f>
        <v>0</v>
      </c>
      <c r="L474" s="44">
        <f>SUMIF(Index!$E$15:$E$40,'perhitungan individu'!F474,Index!F$15:F$40)*Index!$E$6</f>
        <v>0</v>
      </c>
      <c r="M474" s="44">
        <f>SUMIF(Index!$H$15:$H$40,'perhitungan individu'!$G474,Index!$I$15:$I$40)*Index!$E$7</f>
        <v>0</v>
      </c>
      <c r="N474" s="44">
        <f>SUMIF(Index!$K$15:$K$40,'perhitungan individu'!$G474,Index!$L$15:$L$40)*Index!$E$8</f>
        <v>0</v>
      </c>
      <c r="O474" s="44">
        <f>SUMIF(Index!$M$15:$M$40,'perhitungan individu'!H474,Index!$N$15:$N$40)*Index!$E$9</f>
        <v>0</v>
      </c>
      <c r="P474" s="44">
        <f>SUMIF('Kinera Unit Kerja'!$B$4:$B$20,'perhitungan individu'!$G474,'Kinera Unit Kerja'!$G$4:$G$20)*Index!$E$10</f>
        <v>0</v>
      </c>
      <c r="Q474" s="44">
        <f>I474*Index!$E$11</f>
        <v>0</v>
      </c>
      <c r="R474" s="47">
        <f t="shared" si="13"/>
        <v>0</v>
      </c>
      <c r="S474" s="48">
        <f t="shared" si="12"/>
        <v>0</v>
      </c>
    </row>
    <row r="475" spans="1:19">
      <c r="A475" s="42"/>
      <c r="B475" s="33"/>
      <c r="C475" s="33"/>
      <c r="D475" s="43"/>
      <c r="E475" s="33"/>
      <c r="F475" s="33"/>
      <c r="G475" s="33"/>
      <c r="H475" s="33"/>
      <c r="I475" s="33"/>
      <c r="J475" s="44">
        <f>(D475/100000)*Index!$E$4</f>
        <v>0</v>
      </c>
      <c r="K475" s="44">
        <f>SUMIF(Index!$C$15:$C$40,'perhitungan individu'!E475,Index!$D$15:$D$40)*Index!$E$5</f>
        <v>0</v>
      </c>
      <c r="L475" s="44">
        <f>SUMIF(Index!$E$15:$E$40,'perhitungan individu'!F475,Index!F$15:F$40)*Index!$E$6</f>
        <v>0</v>
      </c>
      <c r="M475" s="44">
        <f>SUMIF(Index!$H$15:$H$40,'perhitungan individu'!$G475,Index!$I$15:$I$40)*Index!$E$7</f>
        <v>0</v>
      </c>
      <c r="N475" s="44">
        <f>SUMIF(Index!$K$15:$K$40,'perhitungan individu'!$G475,Index!$L$15:$L$40)*Index!$E$8</f>
        <v>0</v>
      </c>
      <c r="O475" s="44">
        <f>SUMIF(Index!$M$15:$M$40,'perhitungan individu'!H475,Index!$N$15:$N$40)*Index!$E$9</f>
        <v>0</v>
      </c>
      <c r="P475" s="44">
        <f>SUMIF('Kinera Unit Kerja'!$B$4:$B$20,'perhitungan individu'!$G475,'Kinera Unit Kerja'!$G$4:$G$20)*Index!$E$10</f>
        <v>0</v>
      </c>
      <c r="Q475" s="44">
        <f>I475*Index!$E$11</f>
        <v>0</v>
      </c>
      <c r="R475" s="47">
        <f t="shared" si="13"/>
        <v>0</v>
      </c>
      <c r="S475" s="48">
        <f t="shared" si="12"/>
        <v>0</v>
      </c>
    </row>
    <row r="476" spans="1:19">
      <c r="A476" s="42"/>
      <c r="B476" s="33"/>
      <c r="C476" s="33"/>
      <c r="D476" s="43"/>
      <c r="E476" s="33"/>
      <c r="F476" s="33"/>
      <c r="G476" s="33"/>
      <c r="H476" s="33"/>
      <c r="I476" s="33"/>
      <c r="J476" s="44">
        <f>(D476/100000)*Index!$E$4</f>
        <v>0</v>
      </c>
      <c r="K476" s="44">
        <f>SUMIF(Index!$C$15:$C$40,'perhitungan individu'!E476,Index!$D$15:$D$40)*Index!$E$5</f>
        <v>0</v>
      </c>
      <c r="L476" s="44">
        <f>SUMIF(Index!$E$15:$E$40,'perhitungan individu'!F476,Index!F$15:F$40)*Index!$E$6</f>
        <v>0</v>
      </c>
      <c r="M476" s="44">
        <f>SUMIF(Index!$H$15:$H$40,'perhitungan individu'!$G476,Index!$I$15:$I$40)*Index!$E$7</f>
        <v>0</v>
      </c>
      <c r="N476" s="44">
        <f>SUMIF(Index!$K$15:$K$40,'perhitungan individu'!$G476,Index!$L$15:$L$40)*Index!$E$8</f>
        <v>0</v>
      </c>
      <c r="O476" s="44">
        <f>SUMIF(Index!$M$15:$M$40,'perhitungan individu'!H476,Index!$N$15:$N$40)*Index!$E$9</f>
        <v>0</v>
      </c>
      <c r="P476" s="44">
        <f>SUMIF('Kinera Unit Kerja'!$B$4:$B$20,'perhitungan individu'!$G476,'Kinera Unit Kerja'!$G$4:$G$20)*Index!$E$10</f>
        <v>0</v>
      </c>
      <c r="Q476" s="44">
        <f>I476*Index!$E$11</f>
        <v>0</v>
      </c>
      <c r="R476" s="47">
        <f t="shared" si="13"/>
        <v>0</v>
      </c>
      <c r="S476" s="48">
        <f t="shared" si="12"/>
        <v>0</v>
      </c>
    </row>
    <row r="477" spans="1:19">
      <c r="A477" s="42"/>
      <c r="B477" s="33"/>
      <c r="C477" s="33"/>
      <c r="D477" s="43"/>
      <c r="E477" s="33"/>
      <c r="F477" s="33"/>
      <c r="G477" s="33"/>
      <c r="H477" s="33"/>
      <c r="I477" s="33"/>
      <c r="J477" s="44">
        <f>(D477/100000)*Index!$E$4</f>
        <v>0</v>
      </c>
      <c r="K477" s="44">
        <f>SUMIF(Index!$C$15:$C$40,'perhitungan individu'!E477,Index!$D$15:$D$40)*Index!$E$5</f>
        <v>0</v>
      </c>
      <c r="L477" s="44">
        <f>SUMIF(Index!$E$15:$E$40,'perhitungan individu'!F477,Index!F$15:F$40)*Index!$E$6</f>
        <v>0</v>
      </c>
      <c r="M477" s="44">
        <f>SUMIF(Index!$H$15:$H$40,'perhitungan individu'!$G477,Index!$I$15:$I$40)*Index!$E$7</f>
        <v>0</v>
      </c>
      <c r="N477" s="44">
        <f>SUMIF(Index!$K$15:$K$40,'perhitungan individu'!$G477,Index!$L$15:$L$40)*Index!$E$8</f>
        <v>0</v>
      </c>
      <c r="O477" s="44">
        <f>SUMIF(Index!$M$15:$M$40,'perhitungan individu'!H477,Index!$N$15:$N$40)*Index!$E$9</f>
        <v>0</v>
      </c>
      <c r="P477" s="44">
        <f>SUMIF('Kinera Unit Kerja'!$B$4:$B$20,'perhitungan individu'!$G477,'Kinera Unit Kerja'!$G$4:$G$20)*Index!$E$10</f>
        <v>0</v>
      </c>
      <c r="Q477" s="44">
        <f>I477*Index!$E$11</f>
        <v>0</v>
      </c>
      <c r="R477" s="47">
        <f t="shared" si="13"/>
        <v>0</v>
      </c>
      <c r="S477" s="48">
        <f t="shared" si="12"/>
        <v>0</v>
      </c>
    </row>
    <row r="478" spans="1:19">
      <c r="A478" s="42"/>
      <c r="B478" s="33"/>
      <c r="C478" s="33"/>
      <c r="D478" s="43"/>
      <c r="E478" s="33"/>
      <c r="F478" s="33"/>
      <c r="G478" s="33"/>
      <c r="H478" s="33"/>
      <c r="I478" s="33"/>
      <c r="J478" s="44">
        <f>(D478/100000)*Index!$E$4</f>
        <v>0</v>
      </c>
      <c r="K478" s="44">
        <f>SUMIF(Index!$C$15:$C$40,'perhitungan individu'!E478,Index!$D$15:$D$40)*Index!$E$5</f>
        <v>0</v>
      </c>
      <c r="L478" s="44">
        <f>SUMIF(Index!$E$15:$E$40,'perhitungan individu'!F478,Index!F$15:F$40)*Index!$E$6</f>
        <v>0</v>
      </c>
      <c r="M478" s="44">
        <f>SUMIF(Index!$H$15:$H$40,'perhitungan individu'!$G478,Index!$I$15:$I$40)*Index!$E$7</f>
        <v>0</v>
      </c>
      <c r="N478" s="44">
        <f>SUMIF(Index!$K$15:$K$40,'perhitungan individu'!$G478,Index!$L$15:$L$40)*Index!$E$8</f>
        <v>0</v>
      </c>
      <c r="O478" s="44">
        <f>SUMIF(Index!$M$15:$M$40,'perhitungan individu'!H478,Index!$N$15:$N$40)*Index!$E$9</f>
        <v>0</v>
      </c>
      <c r="P478" s="44">
        <f>SUMIF('Kinera Unit Kerja'!$B$4:$B$20,'perhitungan individu'!$G478,'Kinera Unit Kerja'!$G$4:$G$20)*Index!$E$10</f>
        <v>0</v>
      </c>
      <c r="Q478" s="44">
        <f>I478*Index!$E$11</f>
        <v>0</v>
      </c>
      <c r="R478" s="47">
        <f t="shared" si="13"/>
        <v>0</v>
      </c>
      <c r="S478" s="48">
        <f t="shared" si="12"/>
        <v>0</v>
      </c>
    </row>
    <row r="479" spans="1:19">
      <c r="A479" s="42"/>
      <c r="B479" s="33"/>
      <c r="C479" s="33"/>
      <c r="D479" s="43"/>
      <c r="E479" s="33"/>
      <c r="F479" s="33"/>
      <c r="G479" s="33"/>
      <c r="H479" s="33"/>
      <c r="I479" s="33"/>
      <c r="J479" s="44">
        <f>(D479/100000)*Index!$E$4</f>
        <v>0</v>
      </c>
      <c r="K479" s="44">
        <f>SUMIF(Index!$C$15:$C$40,'perhitungan individu'!E479,Index!$D$15:$D$40)*Index!$E$5</f>
        <v>0</v>
      </c>
      <c r="L479" s="44">
        <f>SUMIF(Index!$E$15:$E$40,'perhitungan individu'!F479,Index!F$15:F$40)*Index!$E$6</f>
        <v>0</v>
      </c>
      <c r="M479" s="44">
        <f>SUMIF(Index!$H$15:$H$40,'perhitungan individu'!$G479,Index!$I$15:$I$40)*Index!$E$7</f>
        <v>0</v>
      </c>
      <c r="N479" s="44">
        <f>SUMIF(Index!$K$15:$K$40,'perhitungan individu'!$G479,Index!$L$15:$L$40)*Index!$E$8</f>
        <v>0</v>
      </c>
      <c r="O479" s="44">
        <f>SUMIF(Index!$M$15:$M$40,'perhitungan individu'!H479,Index!$N$15:$N$40)*Index!$E$9</f>
        <v>0</v>
      </c>
      <c r="P479" s="44">
        <f>SUMIF('Kinera Unit Kerja'!$B$4:$B$20,'perhitungan individu'!$G479,'Kinera Unit Kerja'!$G$4:$G$20)*Index!$E$10</f>
        <v>0</v>
      </c>
      <c r="Q479" s="44">
        <f>I479*Index!$E$11</f>
        <v>0</v>
      </c>
      <c r="R479" s="47">
        <f t="shared" si="13"/>
        <v>0</v>
      </c>
      <c r="S479" s="48">
        <f t="shared" si="12"/>
        <v>0</v>
      </c>
    </row>
    <row r="480" spans="1:19">
      <c r="A480" s="42"/>
      <c r="B480" s="33"/>
      <c r="C480" s="33"/>
      <c r="D480" s="43"/>
      <c r="E480" s="33"/>
      <c r="F480" s="33"/>
      <c r="G480" s="33"/>
      <c r="H480" s="33"/>
      <c r="I480" s="33"/>
      <c r="J480" s="44">
        <f>(D480/100000)*Index!$E$4</f>
        <v>0</v>
      </c>
      <c r="K480" s="44">
        <f>SUMIF(Index!$C$15:$C$40,'perhitungan individu'!E480,Index!$D$15:$D$40)*Index!$E$5</f>
        <v>0</v>
      </c>
      <c r="L480" s="44">
        <f>SUMIF(Index!$E$15:$E$40,'perhitungan individu'!F480,Index!F$15:F$40)*Index!$E$6</f>
        <v>0</v>
      </c>
      <c r="M480" s="44">
        <f>SUMIF(Index!$H$15:$H$40,'perhitungan individu'!$G480,Index!$I$15:$I$40)*Index!$E$7</f>
        <v>0</v>
      </c>
      <c r="N480" s="44">
        <f>SUMIF(Index!$K$15:$K$40,'perhitungan individu'!$G480,Index!$L$15:$L$40)*Index!$E$8</f>
        <v>0</v>
      </c>
      <c r="O480" s="44">
        <f>SUMIF(Index!$M$15:$M$40,'perhitungan individu'!H480,Index!$N$15:$N$40)*Index!$E$9</f>
        <v>0</v>
      </c>
      <c r="P480" s="44">
        <f>SUMIF('Kinera Unit Kerja'!$B$4:$B$20,'perhitungan individu'!$G480,'Kinera Unit Kerja'!$G$4:$G$20)*Index!$E$10</f>
        <v>0</v>
      </c>
      <c r="Q480" s="44">
        <f>I480*Index!$E$11</f>
        <v>0</v>
      </c>
      <c r="R480" s="47">
        <f t="shared" si="13"/>
        <v>0</v>
      </c>
      <c r="S480" s="48">
        <f t="shared" ref="S480:S501" si="14">$B$29/$R$29*$R480</f>
        <v>0</v>
      </c>
    </row>
    <row r="481" spans="1:19">
      <c r="A481" s="42"/>
      <c r="B481" s="33"/>
      <c r="C481" s="33"/>
      <c r="D481" s="43"/>
      <c r="E481" s="33"/>
      <c r="F481" s="33"/>
      <c r="G481" s="33"/>
      <c r="H481" s="33"/>
      <c r="I481" s="33"/>
      <c r="J481" s="44">
        <f>(D481/100000)*Index!$E$4</f>
        <v>0</v>
      </c>
      <c r="K481" s="44">
        <f>SUMIF(Index!$C$15:$C$40,'perhitungan individu'!E481,Index!$D$15:$D$40)*Index!$E$5</f>
        <v>0</v>
      </c>
      <c r="L481" s="44">
        <f>SUMIF(Index!$E$15:$E$40,'perhitungan individu'!F481,Index!F$15:F$40)*Index!$E$6</f>
        <v>0</v>
      </c>
      <c r="M481" s="44">
        <f>SUMIF(Index!$H$15:$H$40,'perhitungan individu'!$G481,Index!$I$15:$I$40)*Index!$E$7</f>
        <v>0</v>
      </c>
      <c r="N481" s="44">
        <f>SUMIF(Index!$K$15:$K$40,'perhitungan individu'!$G481,Index!$L$15:$L$40)*Index!$E$8</f>
        <v>0</v>
      </c>
      <c r="O481" s="44">
        <f>SUMIF(Index!$M$15:$M$40,'perhitungan individu'!H481,Index!$N$15:$N$40)*Index!$E$9</f>
        <v>0</v>
      </c>
      <c r="P481" s="44">
        <f>SUMIF('Kinera Unit Kerja'!$B$4:$B$20,'perhitungan individu'!$G481,'Kinera Unit Kerja'!$G$4:$G$20)*Index!$E$10</f>
        <v>0</v>
      </c>
      <c r="Q481" s="44">
        <f>I481*Index!$E$11</f>
        <v>0</v>
      </c>
      <c r="R481" s="47">
        <f t="shared" si="13"/>
        <v>0</v>
      </c>
      <c r="S481" s="48">
        <f t="shared" si="14"/>
        <v>0</v>
      </c>
    </row>
    <row r="482" spans="1:19">
      <c r="A482" s="42"/>
      <c r="B482" s="33"/>
      <c r="C482" s="33"/>
      <c r="D482" s="43"/>
      <c r="E482" s="33"/>
      <c r="F482" s="33"/>
      <c r="G482" s="33"/>
      <c r="H482" s="33"/>
      <c r="I482" s="33"/>
      <c r="J482" s="44">
        <f>(D482/100000)*Index!$E$4</f>
        <v>0</v>
      </c>
      <c r="K482" s="44">
        <f>SUMIF(Index!$C$15:$C$40,'perhitungan individu'!E482,Index!$D$15:$D$40)*Index!$E$5</f>
        <v>0</v>
      </c>
      <c r="L482" s="44">
        <f>SUMIF(Index!$E$15:$E$40,'perhitungan individu'!F482,Index!F$15:F$40)*Index!$E$6</f>
        <v>0</v>
      </c>
      <c r="M482" s="44">
        <f>SUMIF(Index!$H$15:$H$40,'perhitungan individu'!$G482,Index!$I$15:$I$40)*Index!$E$7</f>
        <v>0</v>
      </c>
      <c r="N482" s="44">
        <f>SUMIF(Index!$K$15:$K$40,'perhitungan individu'!$G482,Index!$L$15:$L$40)*Index!$E$8</f>
        <v>0</v>
      </c>
      <c r="O482" s="44">
        <f>SUMIF(Index!$M$15:$M$40,'perhitungan individu'!H482,Index!$N$15:$N$40)*Index!$E$9</f>
        <v>0</v>
      </c>
      <c r="P482" s="44">
        <f>SUMIF('Kinera Unit Kerja'!$B$4:$B$20,'perhitungan individu'!$G482,'Kinera Unit Kerja'!$G$4:$G$20)*Index!$E$10</f>
        <v>0</v>
      </c>
      <c r="Q482" s="44">
        <f>I482*Index!$E$11</f>
        <v>0</v>
      </c>
      <c r="R482" s="47">
        <f t="shared" si="13"/>
        <v>0</v>
      </c>
      <c r="S482" s="48">
        <f t="shared" si="14"/>
        <v>0</v>
      </c>
    </row>
    <row r="483" spans="1:19">
      <c r="A483" s="42"/>
      <c r="B483" s="33"/>
      <c r="C483" s="33"/>
      <c r="D483" s="43"/>
      <c r="E483" s="33"/>
      <c r="F483" s="33"/>
      <c r="G483" s="33"/>
      <c r="H483" s="33"/>
      <c r="I483" s="33"/>
      <c r="J483" s="44">
        <f>(D483/100000)*Index!$E$4</f>
        <v>0</v>
      </c>
      <c r="K483" s="44">
        <f>SUMIF(Index!$C$15:$C$40,'perhitungan individu'!E483,Index!$D$15:$D$40)*Index!$E$5</f>
        <v>0</v>
      </c>
      <c r="L483" s="44">
        <f>SUMIF(Index!$E$15:$E$40,'perhitungan individu'!F483,Index!F$15:F$40)*Index!$E$6</f>
        <v>0</v>
      </c>
      <c r="M483" s="44">
        <f>SUMIF(Index!$H$15:$H$40,'perhitungan individu'!$G483,Index!$I$15:$I$40)*Index!$E$7</f>
        <v>0</v>
      </c>
      <c r="N483" s="44">
        <f>SUMIF(Index!$K$15:$K$40,'perhitungan individu'!$G483,Index!$L$15:$L$40)*Index!$E$8</f>
        <v>0</v>
      </c>
      <c r="O483" s="44">
        <f>SUMIF(Index!$M$15:$M$40,'perhitungan individu'!H483,Index!$N$15:$N$40)*Index!$E$9</f>
        <v>0</v>
      </c>
      <c r="P483" s="44">
        <f>SUMIF('Kinera Unit Kerja'!$B$4:$B$20,'perhitungan individu'!$G483,'Kinera Unit Kerja'!$G$4:$G$20)*Index!$E$10</f>
        <v>0</v>
      </c>
      <c r="Q483" s="44">
        <f>I483*Index!$E$11</f>
        <v>0</v>
      </c>
      <c r="R483" s="47">
        <f t="shared" ref="R483:R501" si="15">SUM(J483:Q483)</f>
        <v>0</v>
      </c>
      <c r="S483" s="48">
        <f t="shared" si="14"/>
        <v>0</v>
      </c>
    </row>
    <row r="484" spans="1:19">
      <c r="A484" s="42"/>
      <c r="B484" s="33"/>
      <c r="C484" s="33"/>
      <c r="D484" s="43"/>
      <c r="E484" s="33"/>
      <c r="F484" s="33"/>
      <c r="G484" s="33"/>
      <c r="H484" s="33"/>
      <c r="I484" s="33"/>
      <c r="J484" s="44">
        <f>(D484/100000)*Index!$E$4</f>
        <v>0</v>
      </c>
      <c r="K484" s="44">
        <f>SUMIF(Index!$C$15:$C$40,'perhitungan individu'!E484,Index!$D$15:$D$40)*Index!$E$5</f>
        <v>0</v>
      </c>
      <c r="L484" s="44">
        <f>SUMIF(Index!$E$15:$E$40,'perhitungan individu'!F484,Index!F$15:F$40)*Index!$E$6</f>
        <v>0</v>
      </c>
      <c r="M484" s="44">
        <f>SUMIF(Index!$H$15:$H$40,'perhitungan individu'!$G484,Index!$I$15:$I$40)*Index!$E$7</f>
        <v>0</v>
      </c>
      <c r="N484" s="44">
        <f>SUMIF(Index!$K$15:$K$40,'perhitungan individu'!$G484,Index!$L$15:$L$40)*Index!$E$8</f>
        <v>0</v>
      </c>
      <c r="O484" s="44">
        <f>SUMIF(Index!$M$15:$M$40,'perhitungan individu'!H484,Index!$N$15:$N$40)*Index!$E$9</f>
        <v>0</v>
      </c>
      <c r="P484" s="44">
        <f>SUMIF('Kinera Unit Kerja'!$B$4:$B$20,'perhitungan individu'!$G484,'Kinera Unit Kerja'!$G$4:$G$20)*Index!$E$10</f>
        <v>0</v>
      </c>
      <c r="Q484" s="44">
        <f>I484*Index!$E$11</f>
        <v>0</v>
      </c>
      <c r="R484" s="47">
        <f t="shared" si="15"/>
        <v>0</v>
      </c>
      <c r="S484" s="48">
        <f t="shared" si="14"/>
        <v>0</v>
      </c>
    </row>
    <row r="485" spans="1:19">
      <c r="A485" s="42"/>
      <c r="B485" s="33"/>
      <c r="C485" s="33"/>
      <c r="D485" s="43"/>
      <c r="E485" s="33"/>
      <c r="F485" s="33"/>
      <c r="G485" s="33"/>
      <c r="H485" s="33"/>
      <c r="I485" s="33"/>
      <c r="J485" s="44">
        <f>(D485/100000)*Index!$E$4</f>
        <v>0</v>
      </c>
      <c r="K485" s="44">
        <f>SUMIF(Index!$C$15:$C$40,'perhitungan individu'!E485,Index!$D$15:$D$40)*Index!$E$5</f>
        <v>0</v>
      </c>
      <c r="L485" s="44">
        <f>SUMIF(Index!$E$15:$E$40,'perhitungan individu'!F485,Index!F$15:F$40)*Index!$E$6</f>
        <v>0</v>
      </c>
      <c r="M485" s="44">
        <f>SUMIF(Index!$H$15:$H$40,'perhitungan individu'!$G485,Index!$I$15:$I$40)*Index!$E$7</f>
        <v>0</v>
      </c>
      <c r="N485" s="44">
        <f>SUMIF(Index!$K$15:$K$40,'perhitungan individu'!$G485,Index!$L$15:$L$40)*Index!$E$8</f>
        <v>0</v>
      </c>
      <c r="O485" s="44">
        <f>SUMIF(Index!$M$15:$M$40,'perhitungan individu'!H485,Index!$N$15:$N$40)*Index!$E$9</f>
        <v>0</v>
      </c>
      <c r="P485" s="44">
        <f>SUMIF('Kinera Unit Kerja'!$B$4:$B$20,'perhitungan individu'!$G485,'Kinera Unit Kerja'!$G$4:$G$20)*Index!$E$10</f>
        <v>0</v>
      </c>
      <c r="Q485" s="44">
        <f>I485*Index!$E$11</f>
        <v>0</v>
      </c>
      <c r="R485" s="47">
        <f t="shared" si="15"/>
        <v>0</v>
      </c>
      <c r="S485" s="48">
        <f t="shared" si="14"/>
        <v>0</v>
      </c>
    </row>
    <row r="486" spans="1:19">
      <c r="A486" s="42"/>
      <c r="B486" s="33"/>
      <c r="C486" s="33"/>
      <c r="D486" s="43"/>
      <c r="E486" s="33"/>
      <c r="F486" s="33"/>
      <c r="G486" s="33"/>
      <c r="H486" s="33"/>
      <c r="I486" s="33"/>
      <c r="J486" s="44">
        <f>(D486/100000)*Index!$E$4</f>
        <v>0</v>
      </c>
      <c r="K486" s="44">
        <f>SUMIF(Index!$C$15:$C$40,'perhitungan individu'!E486,Index!$D$15:$D$40)*Index!$E$5</f>
        <v>0</v>
      </c>
      <c r="L486" s="44">
        <f>SUMIF(Index!$E$15:$E$40,'perhitungan individu'!F486,Index!F$15:F$40)*Index!$E$6</f>
        <v>0</v>
      </c>
      <c r="M486" s="44">
        <f>SUMIF(Index!$H$15:$H$40,'perhitungan individu'!$G486,Index!$I$15:$I$40)*Index!$E$7</f>
        <v>0</v>
      </c>
      <c r="N486" s="44">
        <f>SUMIF(Index!$K$15:$K$40,'perhitungan individu'!$G486,Index!$L$15:$L$40)*Index!$E$8</f>
        <v>0</v>
      </c>
      <c r="O486" s="44">
        <f>SUMIF(Index!$M$15:$M$40,'perhitungan individu'!H486,Index!$N$15:$N$40)*Index!$E$9</f>
        <v>0</v>
      </c>
      <c r="P486" s="44">
        <f>SUMIF('Kinera Unit Kerja'!$B$4:$B$20,'perhitungan individu'!$G486,'Kinera Unit Kerja'!$G$4:$G$20)*Index!$E$10</f>
        <v>0</v>
      </c>
      <c r="Q486" s="44">
        <f>I486*Index!$E$11</f>
        <v>0</v>
      </c>
      <c r="R486" s="47">
        <f t="shared" si="15"/>
        <v>0</v>
      </c>
      <c r="S486" s="48">
        <f t="shared" si="14"/>
        <v>0</v>
      </c>
    </row>
    <row r="487" spans="1:19">
      <c r="A487" s="42"/>
      <c r="B487" s="33"/>
      <c r="C487" s="33"/>
      <c r="D487" s="43"/>
      <c r="E487" s="33"/>
      <c r="F487" s="33"/>
      <c r="G487" s="33"/>
      <c r="H487" s="33"/>
      <c r="I487" s="33"/>
      <c r="J487" s="44">
        <f>(D487/100000)*Index!$E$4</f>
        <v>0</v>
      </c>
      <c r="K487" s="44">
        <f>SUMIF(Index!$C$15:$C$40,'perhitungan individu'!E487,Index!$D$15:$D$40)*Index!$E$5</f>
        <v>0</v>
      </c>
      <c r="L487" s="44">
        <f>SUMIF(Index!$E$15:$E$40,'perhitungan individu'!F487,Index!F$15:F$40)*Index!$E$6</f>
        <v>0</v>
      </c>
      <c r="M487" s="44">
        <f>SUMIF(Index!$H$15:$H$40,'perhitungan individu'!$G487,Index!$I$15:$I$40)*Index!$E$7</f>
        <v>0</v>
      </c>
      <c r="N487" s="44">
        <f>SUMIF(Index!$K$15:$K$40,'perhitungan individu'!$G487,Index!$L$15:$L$40)*Index!$E$8</f>
        <v>0</v>
      </c>
      <c r="O487" s="44">
        <f>SUMIF(Index!$M$15:$M$40,'perhitungan individu'!H487,Index!$N$15:$N$40)*Index!$E$9</f>
        <v>0</v>
      </c>
      <c r="P487" s="44">
        <f>SUMIF('Kinera Unit Kerja'!$B$4:$B$20,'perhitungan individu'!$G487,'Kinera Unit Kerja'!$G$4:$G$20)*Index!$E$10</f>
        <v>0</v>
      </c>
      <c r="Q487" s="44">
        <f>I487*Index!$E$11</f>
        <v>0</v>
      </c>
      <c r="R487" s="47">
        <f t="shared" si="15"/>
        <v>0</v>
      </c>
      <c r="S487" s="48">
        <f t="shared" si="14"/>
        <v>0</v>
      </c>
    </row>
    <row r="488" spans="1:19">
      <c r="A488" s="42"/>
      <c r="B488" s="33"/>
      <c r="C488" s="33"/>
      <c r="D488" s="43"/>
      <c r="E488" s="33"/>
      <c r="F488" s="33"/>
      <c r="G488" s="33"/>
      <c r="H488" s="33"/>
      <c r="I488" s="33"/>
      <c r="J488" s="44">
        <f>(D488/100000)*Index!$E$4</f>
        <v>0</v>
      </c>
      <c r="K488" s="44">
        <f>SUMIF(Index!$C$15:$C$40,'perhitungan individu'!E488,Index!$D$15:$D$40)*Index!$E$5</f>
        <v>0</v>
      </c>
      <c r="L488" s="44">
        <f>SUMIF(Index!$E$15:$E$40,'perhitungan individu'!F488,Index!F$15:F$40)*Index!$E$6</f>
        <v>0</v>
      </c>
      <c r="M488" s="44">
        <f>SUMIF(Index!$H$15:$H$40,'perhitungan individu'!$G488,Index!$I$15:$I$40)*Index!$E$7</f>
        <v>0</v>
      </c>
      <c r="N488" s="44">
        <f>SUMIF(Index!$K$15:$K$40,'perhitungan individu'!$G488,Index!$L$15:$L$40)*Index!$E$8</f>
        <v>0</v>
      </c>
      <c r="O488" s="44">
        <f>SUMIF(Index!$M$15:$M$40,'perhitungan individu'!H488,Index!$N$15:$N$40)*Index!$E$9</f>
        <v>0</v>
      </c>
      <c r="P488" s="44">
        <f>SUMIF('Kinera Unit Kerja'!$B$4:$B$20,'perhitungan individu'!$G488,'Kinera Unit Kerja'!$G$4:$G$20)*Index!$E$10</f>
        <v>0</v>
      </c>
      <c r="Q488" s="44">
        <f>I488*Index!$E$11</f>
        <v>0</v>
      </c>
      <c r="R488" s="47">
        <f t="shared" si="15"/>
        <v>0</v>
      </c>
      <c r="S488" s="48">
        <f t="shared" si="14"/>
        <v>0</v>
      </c>
    </row>
    <row r="489" spans="1:19">
      <c r="A489" s="42"/>
      <c r="B489" s="33"/>
      <c r="C489" s="33"/>
      <c r="D489" s="43"/>
      <c r="E489" s="33"/>
      <c r="F489" s="33"/>
      <c r="G489" s="33"/>
      <c r="H489" s="33"/>
      <c r="I489" s="33"/>
      <c r="J489" s="44">
        <f>(D489/100000)*Index!$E$4</f>
        <v>0</v>
      </c>
      <c r="K489" s="44">
        <f>SUMIF(Index!$C$15:$C$40,'perhitungan individu'!E489,Index!$D$15:$D$40)*Index!$E$5</f>
        <v>0</v>
      </c>
      <c r="L489" s="44">
        <f>SUMIF(Index!$E$15:$E$40,'perhitungan individu'!F489,Index!F$15:F$40)*Index!$E$6</f>
        <v>0</v>
      </c>
      <c r="M489" s="44">
        <f>SUMIF(Index!$H$15:$H$40,'perhitungan individu'!$G489,Index!$I$15:$I$40)*Index!$E$7</f>
        <v>0</v>
      </c>
      <c r="N489" s="44">
        <f>SUMIF(Index!$K$15:$K$40,'perhitungan individu'!$G489,Index!$L$15:$L$40)*Index!$E$8</f>
        <v>0</v>
      </c>
      <c r="O489" s="44">
        <f>SUMIF(Index!$M$15:$M$40,'perhitungan individu'!H489,Index!$N$15:$N$40)*Index!$E$9</f>
        <v>0</v>
      </c>
      <c r="P489" s="44">
        <f>SUMIF('Kinera Unit Kerja'!$B$4:$B$20,'perhitungan individu'!$G489,'Kinera Unit Kerja'!$G$4:$G$20)*Index!$E$10</f>
        <v>0</v>
      </c>
      <c r="Q489" s="44">
        <f>I489*Index!$E$11</f>
        <v>0</v>
      </c>
      <c r="R489" s="47">
        <f t="shared" si="15"/>
        <v>0</v>
      </c>
      <c r="S489" s="48">
        <f t="shared" si="14"/>
        <v>0</v>
      </c>
    </row>
    <row r="490" spans="1:19">
      <c r="A490" s="42"/>
      <c r="B490" s="33"/>
      <c r="C490" s="33"/>
      <c r="D490" s="43"/>
      <c r="E490" s="33"/>
      <c r="F490" s="33"/>
      <c r="G490" s="33"/>
      <c r="H490" s="33"/>
      <c r="I490" s="33"/>
      <c r="J490" s="44">
        <f>(D490/100000)*Index!$E$4</f>
        <v>0</v>
      </c>
      <c r="K490" s="44">
        <f>SUMIF(Index!$C$15:$C$40,'perhitungan individu'!E490,Index!$D$15:$D$40)*Index!$E$5</f>
        <v>0</v>
      </c>
      <c r="L490" s="44">
        <f>SUMIF(Index!$E$15:$E$40,'perhitungan individu'!F490,Index!F$15:F$40)*Index!$E$6</f>
        <v>0</v>
      </c>
      <c r="M490" s="44">
        <f>SUMIF(Index!$H$15:$H$40,'perhitungan individu'!$G490,Index!$I$15:$I$40)*Index!$E$7</f>
        <v>0</v>
      </c>
      <c r="N490" s="44">
        <f>SUMIF(Index!$K$15:$K$40,'perhitungan individu'!$G490,Index!$L$15:$L$40)*Index!$E$8</f>
        <v>0</v>
      </c>
      <c r="O490" s="44">
        <f>SUMIF(Index!$M$15:$M$40,'perhitungan individu'!H490,Index!$N$15:$N$40)*Index!$E$9</f>
        <v>0</v>
      </c>
      <c r="P490" s="44">
        <f>SUMIF('Kinera Unit Kerja'!$B$4:$B$20,'perhitungan individu'!$G490,'Kinera Unit Kerja'!$G$4:$G$20)*Index!$E$10</f>
        <v>0</v>
      </c>
      <c r="Q490" s="44">
        <f>I490*Index!$E$11</f>
        <v>0</v>
      </c>
      <c r="R490" s="47">
        <f t="shared" si="15"/>
        <v>0</v>
      </c>
      <c r="S490" s="48">
        <f t="shared" si="14"/>
        <v>0</v>
      </c>
    </row>
    <row r="491" spans="1:19">
      <c r="A491" s="42"/>
      <c r="B491" s="33"/>
      <c r="C491" s="33"/>
      <c r="D491" s="43"/>
      <c r="E491" s="33"/>
      <c r="F491" s="33"/>
      <c r="G491" s="33"/>
      <c r="H491" s="33"/>
      <c r="I491" s="33"/>
      <c r="J491" s="44">
        <f>(D491/100000)*Index!$E$4</f>
        <v>0</v>
      </c>
      <c r="K491" s="44">
        <f>SUMIF(Index!$C$15:$C$40,'perhitungan individu'!E491,Index!$D$15:$D$40)*Index!$E$5</f>
        <v>0</v>
      </c>
      <c r="L491" s="44">
        <f>SUMIF(Index!$E$15:$E$40,'perhitungan individu'!F491,Index!F$15:F$40)*Index!$E$6</f>
        <v>0</v>
      </c>
      <c r="M491" s="44">
        <f>SUMIF(Index!$H$15:$H$40,'perhitungan individu'!$G491,Index!$I$15:$I$40)*Index!$E$7</f>
        <v>0</v>
      </c>
      <c r="N491" s="44">
        <f>SUMIF(Index!$K$15:$K$40,'perhitungan individu'!$G491,Index!$L$15:$L$40)*Index!$E$8</f>
        <v>0</v>
      </c>
      <c r="O491" s="44">
        <f>SUMIF(Index!$M$15:$M$40,'perhitungan individu'!H491,Index!$N$15:$N$40)*Index!$E$9</f>
        <v>0</v>
      </c>
      <c r="P491" s="44">
        <f>SUMIF('Kinera Unit Kerja'!$B$4:$B$20,'perhitungan individu'!$G491,'Kinera Unit Kerja'!$G$4:$G$20)*Index!$E$10</f>
        <v>0</v>
      </c>
      <c r="Q491" s="44">
        <f>I491*Index!$E$11</f>
        <v>0</v>
      </c>
      <c r="R491" s="47">
        <f t="shared" si="15"/>
        <v>0</v>
      </c>
      <c r="S491" s="48">
        <f t="shared" si="14"/>
        <v>0</v>
      </c>
    </row>
    <row r="492" spans="1:19">
      <c r="A492" s="42"/>
      <c r="B492" s="33"/>
      <c r="C492" s="33"/>
      <c r="D492" s="43"/>
      <c r="E492" s="33"/>
      <c r="F492" s="33"/>
      <c r="G492" s="33"/>
      <c r="H492" s="33"/>
      <c r="I492" s="33"/>
      <c r="J492" s="44">
        <f>(D492/100000)*Index!$E$4</f>
        <v>0</v>
      </c>
      <c r="K492" s="44">
        <f>SUMIF(Index!$C$15:$C$40,'perhitungan individu'!E492,Index!$D$15:$D$40)*Index!$E$5</f>
        <v>0</v>
      </c>
      <c r="L492" s="44">
        <f>SUMIF(Index!$E$15:$E$40,'perhitungan individu'!F492,Index!F$15:F$40)*Index!$E$6</f>
        <v>0</v>
      </c>
      <c r="M492" s="44">
        <f>SUMIF(Index!$H$15:$H$40,'perhitungan individu'!$G492,Index!$I$15:$I$40)*Index!$E$7</f>
        <v>0</v>
      </c>
      <c r="N492" s="44">
        <f>SUMIF(Index!$K$15:$K$40,'perhitungan individu'!$G492,Index!$L$15:$L$40)*Index!$E$8</f>
        <v>0</v>
      </c>
      <c r="O492" s="44">
        <f>SUMIF(Index!$M$15:$M$40,'perhitungan individu'!H492,Index!$N$15:$N$40)*Index!$E$9</f>
        <v>0</v>
      </c>
      <c r="P492" s="44">
        <f>SUMIF('Kinera Unit Kerja'!$B$4:$B$20,'perhitungan individu'!$G492,'Kinera Unit Kerja'!$G$4:$G$20)*Index!$E$10</f>
        <v>0</v>
      </c>
      <c r="Q492" s="44">
        <f>I492*Index!$E$11</f>
        <v>0</v>
      </c>
      <c r="R492" s="47">
        <f t="shared" si="15"/>
        <v>0</v>
      </c>
      <c r="S492" s="48">
        <f t="shared" si="14"/>
        <v>0</v>
      </c>
    </row>
    <row r="493" spans="1:19">
      <c r="A493" s="42"/>
      <c r="B493" s="33"/>
      <c r="C493" s="33"/>
      <c r="D493" s="43"/>
      <c r="E493" s="33"/>
      <c r="F493" s="33"/>
      <c r="G493" s="33"/>
      <c r="H493" s="33"/>
      <c r="I493" s="33"/>
      <c r="J493" s="44">
        <f>(D493/100000)*Index!$E$4</f>
        <v>0</v>
      </c>
      <c r="K493" s="44">
        <f>SUMIF(Index!$C$15:$C$40,'perhitungan individu'!E493,Index!$D$15:$D$40)*Index!$E$5</f>
        <v>0</v>
      </c>
      <c r="L493" s="44">
        <f>SUMIF(Index!$E$15:$E$40,'perhitungan individu'!F493,Index!F$15:F$40)*Index!$E$6</f>
        <v>0</v>
      </c>
      <c r="M493" s="44">
        <f>SUMIF(Index!$H$15:$H$40,'perhitungan individu'!$G493,Index!$I$15:$I$40)*Index!$E$7</f>
        <v>0</v>
      </c>
      <c r="N493" s="44">
        <f>SUMIF(Index!$K$15:$K$40,'perhitungan individu'!$G493,Index!$L$15:$L$40)*Index!$E$8</f>
        <v>0</v>
      </c>
      <c r="O493" s="44">
        <f>SUMIF(Index!$M$15:$M$40,'perhitungan individu'!H493,Index!$N$15:$N$40)*Index!$E$9</f>
        <v>0</v>
      </c>
      <c r="P493" s="44">
        <f>SUMIF('Kinera Unit Kerja'!$B$4:$B$20,'perhitungan individu'!$G493,'Kinera Unit Kerja'!$G$4:$G$20)*Index!$E$10</f>
        <v>0</v>
      </c>
      <c r="Q493" s="44">
        <f>I493*Index!$E$11</f>
        <v>0</v>
      </c>
      <c r="R493" s="47">
        <f t="shared" si="15"/>
        <v>0</v>
      </c>
      <c r="S493" s="48">
        <f t="shared" si="14"/>
        <v>0</v>
      </c>
    </row>
    <row r="494" spans="1:19">
      <c r="A494" s="42"/>
      <c r="B494" s="33"/>
      <c r="C494" s="33"/>
      <c r="D494" s="43"/>
      <c r="E494" s="33"/>
      <c r="F494" s="33"/>
      <c r="G494" s="33"/>
      <c r="H494" s="33"/>
      <c r="I494" s="33"/>
      <c r="J494" s="44">
        <f>(D494/100000)*Index!$E$4</f>
        <v>0</v>
      </c>
      <c r="K494" s="44">
        <f>SUMIF(Index!$C$15:$C$40,'perhitungan individu'!E494,Index!$D$15:$D$40)*Index!$E$5</f>
        <v>0</v>
      </c>
      <c r="L494" s="44">
        <f>SUMIF(Index!$E$15:$E$40,'perhitungan individu'!F494,Index!F$15:F$40)*Index!$E$6</f>
        <v>0</v>
      </c>
      <c r="M494" s="44">
        <f>SUMIF(Index!$H$15:$H$40,'perhitungan individu'!$G494,Index!$I$15:$I$40)*Index!$E$7</f>
        <v>0</v>
      </c>
      <c r="N494" s="44">
        <f>SUMIF(Index!$K$15:$K$40,'perhitungan individu'!$G494,Index!$L$15:$L$40)*Index!$E$8</f>
        <v>0</v>
      </c>
      <c r="O494" s="44">
        <f>SUMIF(Index!$M$15:$M$40,'perhitungan individu'!H494,Index!$N$15:$N$40)*Index!$E$9</f>
        <v>0</v>
      </c>
      <c r="P494" s="44">
        <f>SUMIF('Kinera Unit Kerja'!$B$4:$B$20,'perhitungan individu'!$G494,'Kinera Unit Kerja'!$G$4:$G$20)*Index!$E$10</f>
        <v>0</v>
      </c>
      <c r="Q494" s="44">
        <f>I494*Index!$E$11</f>
        <v>0</v>
      </c>
      <c r="R494" s="47">
        <f t="shared" si="15"/>
        <v>0</v>
      </c>
      <c r="S494" s="48">
        <f t="shared" si="14"/>
        <v>0</v>
      </c>
    </row>
    <row r="495" spans="1:19">
      <c r="A495" s="42"/>
      <c r="B495" s="33"/>
      <c r="C495" s="33"/>
      <c r="D495" s="43"/>
      <c r="E495" s="33"/>
      <c r="F495" s="33"/>
      <c r="G495" s="33"/>
      <c r="H495" s="33"/>
      <c r="I495" s="33"/>
      <c r="J495" s="44">
        <f>(D495/100000)*Index!$E$4</f>
        <v>0</v>
      </c>
      <c r="K495" s="44">
        <f>SUMIF(Index!$C$15:$C$40,'perhitungan individu'!E495,Index!$D$15:$D$40)*Index!$E$5</f>
        <v>0</v>
      </c>
      <c r="L495" s="44">
        <f>SUMIF(Index!$E$15:$E$40,'perhitungan individu'!F495,Index!F$15:F$40)*Index!$E$6</f>
        <v>0</v>
      </c>
      <c r="M495" s="44">
        <f>SUMIF(Index!$H$15:$H$40,'perhitungan individu'!$G495,Index!$I$15:$I$40)*Index!$E$7</f>
        <v>0</v>
      </c>
      <c r="N495" s="44">
        <f>SUMIF(Index!$K$15:$K$40,'perhitungan individu'!$G495,Index!$L$15:$L$40)*Index!$E$8</f>
        <v>0</v>
      </c>
      <c r="O495" s="44">
        <f>SUMIF(Index!$M$15:$M$40,'perhitungan individu'!H495,Index!$N$15:$N$40)*Index!$E$9</f>
        <v>0</v>
      </c>
      <c r="P495" s="44">
        <f>SUMIF('Kinera Unit Kerja'!$B$4:$B$20,'perhitungan individu'!$G495,'Kinera Unit Kerja'!$G$4:$G$20)*Index!$E$10</f>
        <v>0</v>
      </c>
      <c r="Q495" s="44">
        <f>I495*Index!$E$11</f>
        <v>0</v>
      </c>
      <c r="R495" s="47">
        <f t="shared" si="15"/>
        <v>0</v>
      </c>
      <c r="S495" s="48">
        <f t="shared" si="14"/>
        <v>0</v>
      </c>
    </row>
    <row r="496" spans="1:19">
      <c r="A496" s="42"/>
      <c r="B496" s="33"/>
      <c r="C496" s="33"/>
      <c r="D496" s="43"/>
      <c r="E496" s="33"/>
      <c r="F496" s="33"/>
      <c r="G496" s="33"/>
      <c r="H496" s="33"/>
      <c r="I496" s="33"/>
      <c r="J496" s="44">
        <f>(D496/100000)*Index!$E$4</f>
        <v>0</v>
      </c>
      <c r="K496" s="44">
        <f>SUMIF(Index!$C$15:$C$40,'perhitungan individu'!E496,Index!$D$15:$D$40)*Index!$E$5</f>
        <v>0</v>
      </c>
      <c r="L496" s="44">
        <f>SUMIF(Index!$E$15:$E$40,'perhitungan individu'!F496,Index!F$15:F$40)*Index!$E$6</f>
        <v>0</v>
      </c>
      <c r="M496" s="44">
        <f>SUMIF(Index!$H$15:$H$40,'perhitungan individu'!$G496,Index!$I$15:$I$40)*Index!$E$7</f>
        <v>0</v>
      </c>
      <c r="N496" s="44">
        <f>SUMIF(Index!$K$15:$K$40,'perhitungan individu'!$G496,Index!$L$15:$L$40)*Index!$E$8</f>
        <v>0</v>
      </c>
      <c r="O496" s="44">
        <f>SUMIF(Index!$M$15:$M$40,'perhitungan individu'!H496,Index!$N$15:$N$40)*Index!$E$9</f>
        <v>0</v>
      </c>
      <c r="P496" s="44">
        <f>SUMIF('Kinera Unit Kerja'!$B$4:$B$20,'perhitungan individu'!$G496,'Kinera Unit Kerja'!$G$4:$G$20)*Index!$E$10</f>
        <v>0</v>
      </c>
      <c r="Q496" s="44">
        <f>I496*Index!$E$11</f>
        <v>0</v>
      </c>
      <c r="R496" s="47">
        <f t="shared" si="15"/>
        <v>0</v>
      </c>
      <c r="S496" s="48">
        <f t="shared" si="14"/>
        <v>0</v>
      </c>
    </row>
    <row r="497" spans="1:19">
      <c r="A497" s="42"/>
      <c r="B497" s="33"/>
      <c r="C497" s="33"/>
      <c r="D497" s="43"/>
      <c r="E497" s="33"/>
      <c r="F497" s="33"/>
      <c r="G497" s="33"/>
      <c r="H497" s="33"/>
      <c r="I497" s="33"/>
      <c r="J497" s="44">
        <f>(D497/100000)*Index!$E$4</f>
        <v>0</v>
      </c>
      <c r="K497" s="44">
        <f>SUMIF(Index!$C$15:$C$40,'perhitungan individu'!E497,Index!$D$15:$D$40)*Index!$E$5</f>
        <v>0</v>
      </c>
      <c r="L497" s="44">
        <f>SUMIF(Index!$E$15:$E$40,'perhitungan individu'!F497,Index!F$15:F$40)*Index!$E$6</f>
        <v>0</v>
      </c>
      <c r="M497" s="44">
        <f>SUMIF(Index!$H$15:$H$40,'perhitungan individu'!$G497,Index!$I$15:$I$40)*Index!$E$7</f>
        <v>0</v>
      </c>
      <c r="N497" s="44">
        <f>SUMIF(Index!$K$15:$K$40,'perhitungan individu'!$G497,Index!$L$15:$L$40)*Index!$E$8</f>
        <v>0</v>
      </c>
      <c r="O497" s="44">
        <f>SUMIF(Index!$M$15:$M$40,'perhitungan individu'!H497,Index!$N$15:$N$40)*Index!$E$9</f>
        <v>0</v>
      </c>
      <c r="P497" s="44">
        <f>SUMIF('Kinera Unit Kerja'!$B$4:$B$20,'perhitungan individu'!$G497,'Kinera Unit Kerja'!$G$4:$G$20)*Index!$E$10</f>
        <v>0</v>
      </c>
      <c r="Q497" s="44">
        <f>I497*Index!$E$11</f>
        <v>0</v>
      </c>
      <c r="R497" s="47">
        <f t="shared" si="15"/>
        <v>0</v>
      </c>
      <c r="S497" s="48">
        <f t="shared" si="14"/>
        <v>0</v>
      </c>
    </row>
    <row r="498" spans="1:19">
      <c r="A498" s="42"/>
      <c r="B498" s="33"/>
      <c r="C498" s="33"/>
      <c r="D498" s="43"/>
      <c r="E498" s="33"/>
      <c r="F498" s="33"/>
      <c r="G498" s="33"/>
      <c r="H498" s="33"/>
      <c r="I498" s="33"/>
      <c r="J498" s="44">
        <f>(D498/100000)*Index!$E$4</f>
        <v>0</v>
      </c>
      <c r="K498" s="44">
        <f>SUMIF(Index!$C$15:$C$40,'perhitungan individu'!E498,Index!$D$15:$D$40)*Index!$E$5</f>
        <v>0</v>
      </c>
      <c r="L498" s="44">
        <f>SUMIF(Index!$E$15:$E$40,'perhitungan individu'!F498,Index!F$15:F$40)*Index!$E$6</f>
        <v>0</v>
      </c>
      <c r="M498" s="44">
        <f>SUMIF(Index!$H$15:$H$40,'perhitungan individu'!$G498,Index!$I$15:$I$40)*Index!$E$7</f>
        <v>0</v>
      </c>
      <c r="N498" s="44">
        <f>SUMIF(Index!$K$15:$K$40,'perhitungan individu'!$G498,Index!$L$15:$L$40)*Index!$E$8</f>
        <v>0</v>
      </c>
      <c r="O498" s="44">
        <f>SUMIF(Index!$M$15:$M$40,'perhitungan individu'!H498,Index!$N$15:$N$40)*Index!$E$9</f>
        <v>0</v>
      </c>
      <c r="P498" s="44">
        <f>SUMIF('Kinera Unit Kerja'!$B$4:$B$20,'perhitungan individu'!$G498,'Kinera Unit Kerja'!$G$4:$G$20)*Index!$E$10</f>
        <v>0</v>
      </c>
      <c r="Q498" s="44">
        <f>I498*Index!$E$11</f>
        <v>0</v>
      </c>
      <c r="R498" s="47">
        <f t="shared" si="15"/>
        <v>0</v>
      </c>
      <c r="S498" s="48">
        <f t="shared" si="14"/>
        <v>0</v>
      </c>
    </row>
    <row r="499" spans="1:19">
      <c r="A499" s="42"/>
      <c r="B499" s="33"/>
      <c r="C499" s="33"/>
      <c r="D499" s="43"/>
      <c r="E499" s="33"/>
      <c r="F499" s="33"/>
      <c r="G499" s="33"/>
      <c r="H499" s="33"/>
      <c r="I499" s="33"/>
      <c r="J499" s="44">
        <f>(D499/100000)*Index!$E$4</f>
        <v>0</v>
      </c>
      <c r="K499" s="44">
        <f>SUMIF(Index!$C$15:$C$40,'perhitungan individu'!E499,Index!$D$15:$D$40)*Index!$E$5</f>
        <v>0</v>
      </c>
      <c r="L499" s="44">
        <f>SUMIF(Index!$E$15:$E$40,'perhitungan individu'!F499,Index!F$15:F$40)*Index!$E$6</f>
        <v>0</v>
      </c>
      <c r="M499" s="44">
        <f>SUMIF(Index!$H$15:$H$40,'perhitungan individu'!$G499,Index!$I$15:$I$40)*Index!$E$7</f>
        <v>0</v>
      </c>
      <c r="N499" s="44">
        <f>SUMIF(Index!$K$15:$K$40,'perhitungan individu'!$G499,Index!$L$15:$L$40)*Index!$E$8</f>
        <v>0</v>
      </c>
      <c r="O499" s="44">
        <f>SUMIF(Index!$M$15:$M$40,'perhitungan individu'!H499,Index!$N$15:$N$40)*Index!$E$9</f>
        <v>0</v>
      </c>
      <c r="P499" s="44">
        <f>SUMIF('Kinera Unit Kerja'!$B$4:$B$20,'perhitungan individu'!$G499,'Kinera Unit Kerja'!$G$4:$G$20)*Index!$E$10</f>
        <v>0</v>
      </c>
      <c r="Q499" s="44">
        <f>I499*Index!$E$11</f>
        <v>0</v>
      </c>
      <c r="R499" s="47">
        <f t="shared" si="15"/>
        <v>0</v>
      </c>
      <c r="S499" s="48">
        <f t="shared" si="14"/>
        <v>0</v>
      </c>
    </row>
    <row r="500" spans="1:19">
      <c r="A500" s="42"/>
      <c r="B500" s="33"/>
      <c r="C500" s="33"/>
      <c r="D500" s="43"/>
      <c r="E500" s="33"/>
      <c r="F500" s="33"/>
      <c r="G500" s="33"/>
      <c r="H500" s="33"/>
      <c r="I500" s="33"/>
      <c r="J500" s="44">
        <f>(D500/100000)*Index!$E$4</f>
        <v>0</v>
      </c>
      <c r="K500" s="44">
        <f>SUMIF(Index!$C$15:$C$40,'perhitungan individu'!E500,Index!$D$15:$D$40)*Index!$E$5</f>
        <v>0</v>
      </c>
      <c r="L500" s="44">
        <f>SUMIF(Index!$E$15:$E$40,'perhitungan individu'!F500,Index!F$15:F$40)*Index!$E$6</f>
        <v>0</v>
      </c>
      <c r="M500" s="44">
        <f>SUMIF(Index!$H$15:$H$40,'perhitungan individu'!$G500,Index!$I$15:$I$40)*Index!$E$7</f>
        <v>0</v>
      </c>
      <c r="N500" s="44">
        <f>SUMIF(Index!$K$15:$K$40,'perhitungan individu'!$G500,Index!$L$15:$L$40)*Index!$E$8</f>
        <v>0</v>
      </c>
      <c r="O500" s="44">
        <f>SUMIF(Index!$M$15:$M$40,'perhitungan individu'!H500,Index!$N$15:$N$40)*Index!$E$9</f>
        <v>0</v>
      </c>
      <c r="P500" s="44">
        <f>SUMIF('Kinera Unit Kerja'!$B$4:$B$20,'perhitungan individu'!$G500,'Kinera Unit Kerja'!$G$4:$G$20)*Index!$E$10</f>
        <v>0</v>
      </c>
      <c r="Q500" s="44">
        <f>I500*Index!$E$11</f>
        <v>0</v>
      </c>
      <c r="R500" s="47">
        <f t="shared" si="15"/>
        <v>0</v>
      </c>
      <c r="S500" s="48">
        <f t="shared" si="14"/>
        <v>0</v>
      </c>
    </row>
    <row r="501" spans="1:19">
      <c r="A501" s="42"/>
      <c r="B501" s="33"/>
      <c r="C501" s="33"/>
      <c r="D501" s="43"/>
      <c r="E501" s="33"/>
      <c r="F501" s="33"/>
      <c r="G501" s="33"/>
      <c r="H501" s="33"/>
      <c r="I501" s="33"/>
      <c r="J501" s="44">
        <f>(D501/100000)*Index!$E$4</f>
        <v>0</v>
      </c>
      <c r="K501" s="44">
        <f>SUMIF(Index!$C$15:$C$40,'perhitungan individu'!E501,Index!$D$15:$D$40)*Index!$E$5</f>
        <v>0</v>
      </c>
      <c r="L501" s="44">
        <f>SUMIF(Index!$E$15:$E$40,'perhitungan individu'!F501,Index!F$15:F$40)*Index!$E$6</f>
        <v>0</v>
      </c>
      <c r="M501" s="44">
        <f>SUMIF(Index!$H$15:$H$40,'perhitungan individu'!$G501,Index!$I$15:$I$40)*Index!$E$7</f>
        <v>0</v>
      </c>
      <c r="N501" s="44">
        <f>SUMIF(Index!$K$15:$K$40,'perhitungan individu'!$G501,Index!$L$15:$L$40)*Index!$E$8</f>
        <v>0</v>
      </c>
      <c r="O501" s="44">
        <f>SUMIF(Index!$M$15:$M$40,'perhitungan individu'!H501,Index!$N$15:$N$40)*Index!$E$9</f>
        <v>0</v>
      </c>
      <c r="P501" s="44">
        <f>SUMIF('Kinera Unit Kerja'!$B$4:$B$20,'perhitungan individu'!$G501,'Kinera Unit Kerja'!$G$4:$G$20)*Index!$E$10</f>
        <v>0</v>
      </c>
      <c r="Q501" s="44">
        <f>I501*Index!$E$11</f>
        <v>0</v>
      </c>
      <c r="R501" s="47">
        <f t="shared" si="15"/>
        <v>0</v>
      </c>
      <c r="S501" s="48">
        <f t="shared" si="14"/>
        <v>0</v>
      </c>
    </row>
  </sheetData>
  <mergeCells count="1">
    <mergeCell ref="J29:Q29"/>
  </mergeCells>
  <phoneticPr fontId="2" type="noConversion"/>
  <dataValidations count="5">
    <dataValidation type="list" allowBlank="1" showInputMessage="1" showErrorMessage="1" sqref="E32:E501">
      <formula1>$E$2:$E$25</formula1>
    </dataValidation>
    <dataValidation type="list" allowBlank="1" showInputMessage="1" showErrorMessage="1" sqref="F32:F501">
      <formula1>$F$2:$F$25</formula1>
    </dataValidation>
    <dataValidation type="list" allowBlank="1" showInputMessage="1" showErrorMessage="1" sqref="G32:G501">
      <formula1>$G$2:$G$25</formula1>
    </dataValidation>
    <dataValidation type="list" allowBlank="1" showInputMessage="1" showErrorMessage="1" sqref="H32:H501">
      <formula1>$H$2:$H$25</formula1>
    </dataValidation>
    <dataValidation type="decimal" allowBlank="1" showInputMessage="1" showErrorMessage="1" sqref="I32:I501">
      <formula1>0</formula1>
      <formula2>100</formula2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Kinera Unit Kerja</vt:lpstr>
      <vt:lpstr>perhitungan individu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</dc:creator>
  <cp:lastModifiedBy>Lenovo</cp:lastModifiedBy>
  <dcterms:created xsi:type="dcterms:W3CDTF">2009-03-30T05:41:11Z</dcterms:created>
  <dcterms:modified xsi:type="dcterms:W3CDTF">2017-02-13T00:45:55Z</dcterms:modified>
</cp:coreProperties>
</file>