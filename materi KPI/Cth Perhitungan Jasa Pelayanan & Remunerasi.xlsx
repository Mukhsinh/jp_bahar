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820" windowHeight="6105"/>
  </bookViews>
  <sheets>
    <sheet name="Resume" sheetId="1" r:id="rId1"/>
    <sheet name="usulan perubahan % remun" sheetId="2" r:id="rId2"/>
    <sheet name="simulasi distribusi per case" sheetId="3" r:id="rId3"/>
    <sheet name="simulasi distribusi per case 32" sheetId="4" r:id="rId4"/>
  </sheets>
  <calcPr calcId="125725"/>
</workbook>
</file>

<file path=xl/calcChain.xml><?xml version="1.0" encoding="utf-8"?>
<calcChain xmlns="http://schemas.openxmlformats.org/spreadsheetml/2006/main">
  <c r="F22" i="4"/>
  <c r="F18" s="1"/>
  <c r="G18" s="1"/>
  <c r="D22"/>
  <c r="D21"/>
  <c r="D20"/>
  <c r="D19"/>
  <c r="D18"/>
  <c r="D17"/>
  <c r="D16"/>
  <c r="F12"/>
  <c r="G12" s="1"/>
  <c r="H12" s="1"/>
  <c r="D7"/>
  <c r="D8"/>
  <c r="D9"/>
  <c r="D10"/>
  <c r="D11"/>
  <c r="D12"/>
  <c r="D6"/>
  <c r="D17" i="3"/>
  <c r="D18"/>
  <c r="D19"/>
  <c r="D20"/>
  <c r="D21"/>
  <c r="D22"/>
  <c r="D16"/>
  <c r="D7"/>
  <c r="D8"/>
  <c r="D9"/>
  <c r="D10"/>
  <c r="D11"/>
  <c r="D12"/>
  <c r="D6"/>
  <c r="H16" i="1"/>
  <c r="H18"/>
  <c r="J12" i="2"/>
  <c r="K12"/>
  <c r="K10"/>
  <c r="I10"/>
  <c r="K55" i="1"/>
  <c r="J57" s="1"/>
  <c r="I55"/>
  <c r="H25"/>
  <c r="H26" s="1"/>
  <c r="H19"/>
  <c r="K57" l="1"/>
  <c r="F11" i="4"/>
  <c r="G11" s="1"/>
  <c r="F9"/>
  <c r="G9" s="1"/>
  <c r="F7"/>
  <c r="G7" s="1"/>
  <c r="F21"/>
  <c r="G21" s="1"/>
  <c r="F19"/>
  <c r="G19" s="1"/>
  <c r="F17"/>
  <c r="G17" s="1"/>
  <c r="F6"/>
  <c r="G6" s="1"/>
  <c r="F10"/>
  <c r="G10" s="1"/>
  <c r="F8"/>
  <c r="G8" s="1"/>
  <c r="G22"/>
  <c r="H22" s="1"/>
  <c r="F16"/>
  <c r="G16" s="1"/>
  <c r="F20"/>
  <c r="G20" s="1"/>
</calcChain>
</file>

<file path=xl/sharedStrings.xml><?xml version="1.0" encoding="utf-8"?>
<sst xmlns="http://schemas.openxmlformats.org/spreadsheetml/2006/main" count="103" uniqueCount="58">
  <si>
    <t>Pel Lain</t>
  </si>
  <si>
    <t>Umum</t>
  </si>
  <si>
    <t>BPJS</t>
  </si>
  <si>
    <t>sesuai PERDA</t>
  </si>
  <si>
    <t>Grouping INA CBG</t>
  </si>
  <si>
    <t>Tarif Umum</t>
  </si>
  <si>
    <t>selisih</t>
  </si>
  <si>
    <t>selisih negatif</t>
  </si>
  <si>
    <t>selisih positif</t>
  </si>
  <si>
    <t>T</t>
  </si>
  <si>
    <t>K</t>
  </si>
  <si>
    <t>dr A</t>
  </si>
  <si>
    <t>Jan</t>
  </si>
  <si>
    <t>Total RS melayani BPJS</t>
  </si>
  <si>
    <t>nilai konversi</t>
  </si>
  <si>
    <t>Nilai yang diterima</t>
  </si>
  <si>
    <t>Feb</t>
  </si>
  <si>
    <t>Dasar 44% ; 56 % adalah pendapatan RS</t>
  </si>
  <si>
    <t>Untuk pasien BPJS, komponen jasa pelayanan dibagikan dari penerimaan RS yang bersumber dari nilai klaim yang diterima dari BPJS</t>
  </si>
  <si>
    <t>Dasar perhitungan pembagian jasa pelayanan mengnunakan perhitungan nilai tarif RS yang berlaku sah setelah dilakukan penyesuaikan berdasarkan nilai konversi BPJS</t>
  </si>
  <si>
    <t>Nilai konversi BPJS dihitung berdasarkan nilai perbandingan antara total klaim yang diterima dari BPJS dan total nilai tagihan yang dihitung berdasarkan tarif RS.</t>
  </si>
  <si>
    <t>pelayanan oleh dokter</t>
  </si>
  <si>
    <t>pelayanan oleh perawat</t>
  </si>
  <si>
    <t>pelayanan rehabilitasi medik</t>
  </si>
  <si>
    <t>pelayanan rehabilitasi medik khusus</t>
  </si>
  <si>
    <t>pelayanan IGD - tindakan medis</t>
  </si>
  <si>
    <t>pelayanan IGD - tindakan mandat</t>
  </si>
  <si>
    <t>pelayanan IGD - tindakan mandiri</t>
  </si>
  <si>
    <t>pelayanan kamar operasi - tindakan dengan anestesi</t>
  </si>
  <si>
    <t>pelayanan kamar operasi - tindakan tanpa anestesi</t>
  </si>
  <si>
    <t>pelayanan laboratorium</t>
  </si>
  <si>
    <t>pelayanan farmasi</t>
  </si>
  <si>
    <t>pelayanan radiologi - tindakan konvensional</t>
  </si>
  <si>
    <t>pelayanan radiologi - tindakan khusus</t>
  </si>
  <si>
    <t>pelayanan hemodialisa - oleh 1 orang dr spesialis</t>
  </si>
  <si>
    <t>pelayanan hemodialisa - oleh 1 orang dr pendamping</t>
  </si>
  <si>
    <t>pelayanan hemodialisa - oleh 2 orang dr pendamping</t>
  </si>
  <si>
    <t>Proporsi komponen Jasa Pelayanan dan Jasa Sarana di dalam komponen tarif disesuaikan dengan peraturan tentang tarif RS yang berlaku sah</t>
  </si>
  <si>
    <t>JP</t>
  </si>
  <si>
    <t>Sarana, BHP, Resep</t>
  </si>
  <si>
    <t>JS</t>
  </si>
  <si>
    <t>Alasan : karena proporsi komponen jasa pelayanan pada usulan pola tarif tidak selalu konsisten pada prosentase tertentu</t>
  </si>
  <si>
    <t>Per Kasus</t>
  </si>
  <si>
    <t>Pasien xxxx</t>
  </si>
  <si>
    <t>Tarif Umum (billing)</t>
  </si>
  <si>
    <t>BPJS (INA CBG)</t>
  </si>
  <si>
    <t>dr. A.</t>
  </si>
  <si>
    <t>dr. B</t>
  </si>
  <si>
    <t>perwt a</t>
  </si>
  <si>
    <t>perwt b</t>
  </si>
  <si>
    <t>…..</t>
  </si>
  <si>
    <t>Apabila terjadi perhitungan nilai JP yang akan dibagikan melebihi dari 32% dari pendapatan yang diterima RS, maka yang dibagikan adalah maksimal sebesar nilai 32% dari pendapatan yang diterima RS</t>
  </si>
  <si>
    <t>Askep :</t>
  </si>
  <si>
    <t>Anamnesa</t>
  </si>
  <si>
    <t>Pengkajian</t>
  </si>
  <si>
    <t>Analisa</t>
  </si>
  <si>
    <t>Diagnosa Keperawatan</t>
  </si>
  <si>
    <t>Perencanaan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</si>
</sst>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6">
    <font>
      <sz val="10"/>
      <name val="Arial"/>
    </font>
    <font>
      <sz val="10"/>
      <name val="Arial"/>
    </font>
    <font>
      <sz val="10"/>
      <color indexed="9"/>
      <name val="Arial"/>
    </font>
    <font>
      <b/>
      <sz val="10"/>
      <color indexed="9"/>
      <name val="Arial"/>
      <family val="2"/>
    </font>
    <font>
      <sz val="8"/>
      <name val="Arial"/>
    </font>
    <font>
      <sz val="1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2" fillId="4" borderId="0" xfId="0" applyFont="1" applyFill="1"/>
    <xf numFmtId="0" fontId="0" fillId="5" borderId="0" xfId="0" applyFill="1"/>
    <xf numFmtId="0" fontId="0" fillId="6" borderId="0" xfId="0" applyFill="1"/>
    <xf numFmtId="0" fontId="0" fillId="0" borderId="0" xfId="0" applyFill="1"/>
    <xf numFmtId="43" fontId="0" fillId="0" borderId="0" xfId="1" applyFont="1"/>
    <xf numFmtId="43" fontId="0" fillId="0" borderId="0" xfId="0" applyNumberFormat="1"/>
    <xf numFmtId="0" fontId="3" fillId="7" borderId="0" xfId="0" applyFont="1" applyFill="1"/>
    <xf numFmtId="0" fontId="5" fillId="0" borderId="0" xfId="0" applyFont="1"/>
    <xf numFmtId="165" fontId="0" fillId="0" borderId="0" xfId="1" applyNumberFormat="1" applyFont="1"/>
    <xf numFmtId="0" fontId="5" fillId="0" borderId="1" xfId="0" applyFont="1" applyBorder="1"/>
    <xf numFmtId="164" fontId="5" fillId="0" borderId="1" xfId="1" applyNumberFormat="1" applyFont="1" applyBorder="1"/>
    <xf numFmtId="0" fontId="5" fillId="3" borderId="1" xfId="0" applyFont="1" applyFill="1" applyBorder="1"/>
    <xf numFmtId="165" fontId="5" fillId="0" borderId="0" xfId="1" applyNumberFormat="1" applyFont="1"/>
    <xf numFmtId="165" fontId="5" fillId="0" borderId="0" xfId="0" applyNumberFormat="1" applyFont="1"/>
    <xf numFmtId="9" fontId="5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53</xdr:row>
      <xdr:rowOff>0</xdr:rowOff>
    </xdr:from>
    <xdr:to>
      <xdr:col>5</xdr:col>
      <xdr:colOff>95250</xdr:colOff>
      <xdr:row>54</xdr:row>
      <xdr:rowOff>0</xdr:rowOff>
    </xdr:to>
    <xdr:sp macro="" textlink="">
      <xdr:nvSpPr>
        <xdr:cNvPr id="1025" name="Line 1"/>
        <xdr:cNvSpPr>
          <a:spLocks noChangeShapeType="1"/>
        </xdr:cNvSpPr>
      </xdr:nvSpPr>
      <xdr:spPr bwMode="auto">
        <a:xfrm flipH="1">
          <a:off x="2590800" y="8582025"/>
          <a:ext cx="257175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152400</xdr:colOff>
      <xdr:row>55</xdr:row>
      <xdr:rowOff>0</xdr:rowOff>
    </xdr:from>
    <xdr:to>
      <xdr:col>6</xdr:col>
      <xdr:colOff>123825</xdr:colOff>
      <xdr:row>56</xdr:row>
      <xdr:rowOff>0</xdr:rowOff>
    </xdr:to>
    <xdr:sp macro="" textlink="">
      <xdr:nvSpPr>
        <xdr:cNvPr id="1026" name="Line 2"/>
        <xdr:cNvSpPr>
          <a:spLocks noChangeShapeType="1"/>
        </xdr:cNvSpPr>
      </xdr:nvSpPr>
      <xdr:spPr bwMode="auto">
        <a:xfrm flipH="1">
          <a:off x="2905125" y="8905875"/>
          <a:ext cx="19050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5</xdr:col>
      <xdr:colOff>95250</xdr:colOff>
      <xdr:row>53</xdr:row>
      <xdr:rowOff>0</xdr:rowOff>
    </xdr:from>
    <xdr:to>
      <xdr:col>6</xdr:col>
      <xdr:colOff>66675</xdr:colOff>
      <xdr:row>53</xdr:row>
      <xdr:rowOff>152400</xdr:rowOff>
    </xdr:to>
    <xdr:sp macro="" textlink="">
      <xdr:nvSpPr>
        <xdr:cNvPr id="1027" name="Line 3"/>
        <xdr:cNvSpPr>
          <a:spLocks noChangeShapeType="1"/>
        </xdr:cNvSpPr>
      </xdr:nvSpPr>
      <xdr:spPr bwMode="auto">
        <a:xfrm>
          <a:off x="2847975" y="8582025"/>
          <a:ext cx="19050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6</xdr:col>
      <xdr:colOff>123825</xdr:colOff>
      <xdr:row>55</xdr:row>
      <xdr:rowOff>9525</xdr:rowOff>
    </xdr:from>
    <xdr:to>
      <xdr:col>6</xdr:col>
      <xdr:colOff>123825</xdr:colOff>
      <xdr:row>56</xdr:row>
      <xdr:rowOff>0</xdr:rowOff>
    </xdr:to>
    <xdr:sp macro="" textlink="">
      <xdr:nvSpPr>
        <xdr:cNvPr id="1028" name="Line 4"/>
        <xdr:cNvSpPr>
          <a:spLocks noChangeShapeType="1"/>
        </xdr:cNvSpPr>
      </xdr:nvSpPr>
      <xdr:spPr bwMode="auto">
        <a:xfrm>
          <a:off x="3095625" y="8915400"/>
          <a:ext cx="0" cy="152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8</xdr:col>
      <xdr:colOff>219075</xdr:colOff>
      <xdr:row>53</xdr:row>
      <xdr:rowOff>0</xdr:rowOff>
    </xdr:from>
    <xdr:to>
      <xdr:col>9</xdr:col>
      <xdr:colOff>76200</xdr:colOff>
      <xdr:row>54</xdr:row>
      <xdr:rowOff>0</xdr:rowOff>
    </xdr:to>
    <xdr:sp macro="" textlink="">
      <xdr:nvSpPr>
        <xdr:cNvPr id="1033" name="Line 9"/>
        <xdr:cNvSpPr>
          <a:spLocks noChangeShapeType="1"/>
        </xdr:cNvSpPr>
      </xdr:nvSpPr>
      <xdr:spPr bwMode="auto">
        <a:xfrm flipH="1">
          <a:off x="4524375" y="8582025"/>
          <a:ext cx="142875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9</xdr:col>
      <xdr:colOff>66675</xdr:colOff>
      <xdr:row>52</xdr:row>
      <xdr:rowOff>152400</xdr:rowOff>
    </xdr:from>
    <xdr:to>
      <xdr:col>10</xdr:col>
      <xdr:colOff>133350</xdr:colOff>
      <xdr:row>54</xdr:row>
      <xdr:rowOff>19050</xdr:rowOff>
    </xdr:to>
    <xdr:sp macro="" textlink="">
      <xdr:nvSpPr>
        <xdr:cNvPr id="1034" name="Line 10"/>
        <xdr:cNvSpPr>
          <a:spLocks noChangeShapeType="1"/>
        </xdr:cNvSpPr>
      </xdr:nvSpPr>
      <xdr:spPr bwMode="auto">
        <a:xfrm>
          <a:off x="4657725" y="8572500"/>
          <a:ext cx="3333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9</xdr:col>
      <xdr:colOff>161925</xdr:colOff>
      <xdr:row>54</xdr:row>
      <xdr:rowOff>133350</xdr:rowOff>
    </xdr:from>
    <xdr:to>
      <xdr:col>10</xdr:col>
      <xdr:colOff>104775</xdr:colOff>
      <xdr:row>56</xdr:row>
      <xdr:rowOff>0</xdr:rowOff>
    </xdr:to>
    <xdr:sp macro="" textlink="">
      <xdr:nvSpPr>
        <xdr:cNvPr id="1035" name="Line 11"/>
        <xdr:cNvSpPr>
          <a:spLocks noChangeShapeType="1"/>
        </xdr:cNvSpPr>
      </xdr:nvSpPr>
      <xdr:spPr bwMode="auto">
        <a:xfrm flipH="1">
          <a:off x="4752975" y="8877300"/>
          <a:ext cx="2095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10</xdr:col>
      <xdr:colOff>104775</xdr:colOff>
      <xdr:row>55</xdr:row>
      <xdr:rowOff>0</xdr:rowOff>
    </xdr:from>
    <xdr:to>
      <xdr:col>10</xdr:col>
      <xdr:colOff>180975</xdr:colOff>
      <xdr:row>56</xdr:row>
      <xdr:rowOff>0</xdr:rowOff>
    </xdr:to>
    <xdr:sp macro="" textlink="">
      <xdr:nvSpPr>
        <xdr:cNvPr id="1036" name="Line 12"/>
        <xdr:cNvSpPr>
          <a:spLocks noChangeShapeType="1"/>
        </xdr:cNvSpPr>
      </xdr:nvSpPr>
      <xdr:spPr bwMode="auto">
        <a:xfrm>
          <a:off x="4962525" y="8905875"/>
          <a:ext cx="7620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161925</xdr:colOff>
      <xdr:row>11</xdr:row>
      <xdr:rowOff>152400</xdr:rowOff>
    </xdr:from>
    <xdr:ext cx="2032223" cy="318036"/>
    <xdr:sp macro="" textlink="">
      <xdr:nvSpPr>
        <xdr:cNvPr id="2049" name="AutoShape 1"/>
        <xdr:cNvSpPr>
          <a:spLocks noChangeArrowheads="1"/>
        </xdr:cNvSpPr>
      </xdr:nvSpPr>
      <xdr:spPr bwMode="auto">
        <a:xfrm>
          <a:off x="4486275" y="1933575"/>
          <a:ext cx="2032223" cy="318036"/>
        </a:xfrm>
        <a:prstGeom prst="wedgeRectCallout">
          <a:avLst>
            <a:gd name="adj1" fmla="val -58019"/>
            <a:gd name="adj2" fmla="val -74324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32 / 44 = 72,7%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Insentif langsung = 72,7% x JP tarif</a:t>
          </a:r>
        </a:p>
      </xdr:txBody>
    </xdr:sp>
    <xdr:clientData/>
  </xdr:oneCellAnchor>
  <xdr:oneCellAnchor>
    <xdr:from>
      <xdr:col>7</xdr:col>
      <xdr:colOff>1190625</xdr:colOff>
      <xdr:row>14</xdr:row>
      <xdr:rowOff>152400</xdr:rowOff>
    </xdr:from>
    <xdr:ext cx="1982081" cy="318036"/>
    <xdr:sp macro="" textlink="">
      <xdr:nvSpPr>
        <xdr:cNvPr id="2050" name="AutoShape 2"/>
        <xdr:cNvSpPr>
          <a:spLocks noChangeArrowheads="1"/>
        </xdr:cNvSpPr>
      </xdr:nvSpPr>
      <xdr:spPr bwMode="auto">
        <a:xfrm>
          <a:off x="3381375" y="2419350"/>
          <a:ext cx="1982081" cy="318036"/>
        </a:xfrm>
        <a:prstGeom prst="wedgeRectCallout">
          <a:avLst>
            <a:gd name="adj1" fmla="val -32606"/>
            <a:gd name="adj2" fmla="val -187838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 / 44 =  2,3%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Tim pengelola JP = 2,3% x JP tarif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0</xdr:row>
      <xdr:rowOff>19050</xdr:rowOff>
    </xdr:from>
    <xdr:to>
      <xdr:col>2</xdr:col>
      <xdr:colOff>914400</xdr:colOff>
      <xdr:row>2</xdr:row>
      <xdr:rowOff>152400</xdr:rowOff>
    </xdr:to>
    <xdr:sp macro="" textlink="">
      <xdr:nvSpPr>
        <xdr:cNvPr id="3073" name="AutoShape 1"/>
        <xdr:cNvSpPr>
          <a:spLocks noChangeArrowheads="1"/>
        </xdr:cNvSpPr>
      </xdr:nvSpPr>
      <xdr:spPr bwMode="auto">
        <a:xfrm>
          <a:off x="1390650" y="19050"/>
          <a:ext cx="742950" cy="1181100"/>
        </a:xfrm>
        <a:prstGeom prst="downArrowCallout">
          <a:avLst>
            <a:gd name="adj1" fmla="val 25000"/>
            <a:gd name="adj2" fmla="val 25000"/>
            <a:gd name="adj3" fmla="val 26496"/>
            <a:gd name="adj4" fmla="val 6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 Narrow"/>
            </a:rPr>
            <a:t>Breakdown per individu menggunakan remunerasi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171450</xdr:colOff>
      <xdr:row>0</xdr:row>
      <xdr:rowOff>19050</xdr:rowOff>
    </xdr:from>
    <xdr:to>
      <xdr:col>2</xdr:col>
      <xdr:colOff>914400</xdr:colOff>
      <xdr:row>2</xdr:row>
      <xdr:rowOff>152400</xdr:rowOff>
    </xdr:to>
    <xdr:sp macro="" textlink="">
      <xdr:nvSpPr>
        <xdr:cNvPr id="4097" name="AutoShape 1"/>
        <xdr:cNvSpPr>
          <a:spLocks noChangeArrowheads="1"/>
        </xdr:cNvSpPr>
      </xdr:nvSpPr>
      <xdr:spPr bwMode="auto">
        <a:xfrm>
          <a:off x="1390650" y="19050"/>
          <a:ext cx="742950" cy="1181100"/>
        </a:xfrm>
        <a:prstGeom prst="downArrowCallout">
          <a:avLst>
            <a:gd name="adj1" fmla="val 25000"/>
            <a:gd name="adj2" fmla="val 25000"/>
            <a:gd name="adj3" fmla="val 26496"/>
            <a:gd name="adj4" fmla="val 66667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 Narrow"/>
            </a:rPr>
            <a:t>Breakdown per individu menggunakan remunerasi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K65"/>
  <sheetViews>
    <sheetView tabSelected="1" zoomScale="150" workbookViewId="0">
      <selection activeCell="C13" sqref="C13"/>
    </sheetView>
  </sheetViews>
  <sheetFormatPr defaultRowHeight="12.75"/>
  <cols>
    <col min="3" max="3" width="15.7109375" bestFit="1" customWidth="1"/>
    <col min="4" max="4" width="3" bestFit="1" customWidth="1"/>
    <col min="5" max="5" width="4.28515625" bestFit="1" customWidth="1"/>
    <col min="6" max="6" width="3.28515625" bestFit="1" customWidth="1"/>
    <col min="7" max="7" width="4.28515625" bestFit="1" customWidth="1"/>
    <col min="8" max="8" width="15.7109375" bestFit="1" customWidth="1"/>
    <col min="9" max="9" width="4.28515625" bestFit="1" customWidth="1"/>
    <col min="10" max="10" width="4" bestFit="1" customWidth="1"/>
    <col min="11" max="11" width="4.28515625" bestFit="1" customWidth="1"/>
  </cols>
  <sheetData>
    <row r="3" spans="2:11">
      <c r="B3" s="3">
        <v>100</v>
      </c>
      <c r="C3" t="s">
        <v>0</v>
      </c>
      <c r="D3" s="1"/>
      <c r="E3" s="1"/>
      <c r="F3" s="1"/>
      <c r="G3" s="1">
        <v>30</v>
      </c>
      <c r="H3" s="1" t="s">
        <v>3</v>
      </c>
    </row>
    <row r="4" spans="2:11">
      <c r="B4" s="3"/>
      <c r="C4" t="s">
        <v>1</v>
      </c>
      <c r="D4" s="1"/>
      <c r="E4" s="1"/>
      <c r="F4" s="1"/>
      <c r="G4" s="1"/>
      <c r="H4" s="1"/>
    </row>
    <row r="5" spans="2:11">
      <c r="B5" s="3"/>
      <c r="C5" t="s">
        <v>2</v>
      </c>
      <c r="D5" s="2"/>
      <c r="E5" s="2"/>
      <c r="F5" s="2"/>
      <c r="G5" s="2">
        <v>70</v>
      </c>
      <c r="H5" s="2" t="s">
        <v>4</v>
      </c>
    </row>
    <row r="7" spans="2:11">
      <c r="C7" s="2" t="s">
        <v>5</v>
      </c>
      <c r="D7" s="5" t="s">
        <v>6</v>
      </c>
      <c r="E7" s="5"/>
      <c r="F7" s="5"/>
      <c r="G7" s="5"/>
      <c r="H7" s="2" t="s">
        <v>4</v>
      </c>
    </row>
    <row r="8" spans="2:11">
      <c r="D8" s="2">
        <v>32</v>
      </c>
      <c r="E8" s="4">
        <v>1</v>
      </c>
      <c r="F8" s="4">
        <v>11</v>
      </c>
      <c r="G8" s="4">
        <v>56</v>
      </c>
    </row>
    <row r="10" spans="2:11">
      <c r="C10" t="s">
        <v>5</v>
      </c>
      <c r="H10" s="6" t="s">
        <v>4</v>
      </c>
      <c r="J10" t="s">
        <v>9</v>
      </c>
      <c r="K10" t="s">
        <v>10</v>
      </c>
    </row>
    <row r="11" spans="2:11">
      <c r="C11">
        <v>150</v>
      </c>
      <c r="D11" s="5" t="s">
        <v>7</v>
      </c>
      <c r="E11" s="5"/>
      <c r="F11" s="5"/>
      <c r="G11" s="5"/>
      <c r="H11">
        <v>100</v>
      </c>
      <c r="J11">
        <v>1.5</v>
      </c>
      <c r="K11">
        <v>1</v>
      </c>
    </row>
    <row r="12" spans="2:11">
      <c r="C12">
        <v>100</v>
      </c>
      <c r="D12" s="5" t="s">
        <v>8</v>
      </c>
      <c r="E12" s="5"/>
      <c r="F12" s="5"/>
      <c r="G12" s="5"/>
      <c r="H12">
        <v>150</v>
      </c>
      <c r="J12">
        <v>1</v>
      </c>
      <c r="K12">
        <v>1.5</v>
      </c>
    </row>
    <row r="14" spans="2:11">
      <c r="B14" s="9" t="s">
        <v>12</v>
      </c>
      <c r="C14" s="9" t="s">
        <v>5</v>
      </c>
      <c r="D14" s="9"/>
      <c r="E14" s="9"/>
      <c r="F14" s="9"/>
      <c r="G14" s="9"/>
      <c r="H14" s="9" t="s">
        <v>4</v>
      </c>
    </row>
    <row r="15" spans="2:11">
      <c r="B15" t="s">
        <v>13</v>
      </c>
      <c r="C15" s="7">
        <v>150000000</v>
      </c>
      <c r="H15" s="7">
        <v>100000000</v>
      </c>
    </row>
    <row r="16" spans="2:11">
      <c r="B16" t="s">
        <v>14</v>
      </c>
      <c r="C16">
        <v>1</v>
      </c>
      <c r="H16" s="6">
        <f>H15/C15</f>
        <v>0.66666666666666663</v>
      </c>
    </row>
    <row r="17" spans="1:8">
      <c r="C17" t="s">
        <v>11</v>
      </c>
    </row>
    <row r="18" spans="1:8">
      <c r="C18" s="7">
        <v>10000000</v>
      </c>
      <c r="H18" s="8">
        <f>C18/C15*H15</f>
        <v>6666666.666666667</v>
      </c>
    </row>
    <row r="19" spans="1:8">
      <c r="B19" t="s">
        <v>15</v>
      </c>
      <c r="H19" s="8">
        <f>H18</f>
        <v>6666666.666666667</v>
      </c>
    </row>
    <row r="21" spans="1:8">
      <c r="B21" s="9" t="s">
        <v>16</v>
      </c>
      <c r="C21" s="9" t="s">
        <v>5</v>
      </c>
      <c r="D21" s="9"/>
      <c r="E21" s="9"/>
      <c r="F21" s="9"/>
      <c r="G21" s="9"/>
      <c r="H21" s="9" t="s">
        <v>4</v>
      </c>
    </row>
    <row r="22" spans="1:8">
      <c r="B22" t="s">
        <v>13</v>
      </c>
      <c r="C22" s="7">
        <v>100000000</v>
      </c>
      <c r="H22" s="7">
        <v>150000000</v>
      </c>
    </row>
    <row r="23" spans="1:8">
      <c r="B23" t="s">
        <v>14</v>
      </c>
      <c r="C23">
        <v>1</v>
      </c>
      <c r="H23" s="6">
        <v>1.5</v>
      </c>
    </row>
    <row r="24" spans="1:8">
      <c r="C24" t="s">
        <v>11</v>
      </c>
    </row>
    <row r="25" spans="1:8">
      <c r="C25" s="7">
        <v>10000000</v>
      </c>
      <c r="H25" s="8">
        <f>C25/C22*H22</f>
        <v>15000000</v>
      </c>
    </row>
    <row r="26" spans="1:8">
      <c r="B26" t="s">
        <v>15</v>
      </c>
      <c r="H26" s="8">
        <f>H25</f>
        <v>15000000</v>
      </c>
    </row>
    <row r="29" spans="1:8">
      <c r="A29" s="10" t="s">
        <v>17</v>
      </c>
    </row>
    <row r="30" spans="1:8">
      <c r="A30" s="10" t="s">
        <v>37</v>
      </c>
    </row>
    <row r="31" spans="1:8">
      <c r="A31" s="10" t="s">
        <v>18</v>
      </c>
    </row>
    <row r="32" spans="1:8">
      <c r="A32" s="10" t="s">
        <v>19</v>
      </c>
    </row>
    <row r="33" spans="1:1">
      <c r="A33" s="10" t="s">
        <v>20</v>
      </c>
    </row>
    <row r="34" spans="1:1">
      <c r="A34" s="10" t="s">
        <v>51</v>
      </c>
    </row>
    <row r="36" spans="1:1">
      <c r="A36" s="10" t="s">
        <v>21</v>
      </c>
    </row>
    <row r="37" spans="1:1">
      <c r="A37" s="10" t="s">
        <v>22</v>
      </c>
    </row>
    <row r="38" spans="1:1">
      <c r="A38" s="10" t="s">
        <v>23</v>
      </c>
    </row>
    <row r="39" spans="1:1">
      <c r="A39" s="10" t="s">
        <v>24</v>
      </c>
    </row>
    <row r="40" spans="1:1">
      <c r="A40" s="10" t="s">
        <v>25</v>
      </c>
    </row>
    <row r="41" spans="1:1">
      <c r="A41" s="10" t="s">
        <v>26</v>
      </c>
    </row>
    <row r="42" spans="1:1">
      <c r="A42" s="10" t="s">
        <v>27</v>
      </c>
    </row>
    <row r="43" spans="1:1">
      <c r="A43" s="10" t="s">
        <v>28</v>
      </c>
    </row>
    <row r="44" spans="1:1">
      <c r="A44" s="10" t="s">
        <v>29</v>
      </c>
    </row>
    <row r="45" spans="1:1">
      <c r="A45" s="10" t="s">
        <v>30</v>
      </c>
    </row>
    <row r="46" spans="1:1">
      <c r="A46" s="10" t="s">
        <v>31</v>
      </c>
    </row>
    <row r="47" spans="1:1">
      <c r="A47" s="10" t="s">
        <v>32</v>
      </c>
    </row>
    <row r="48" spans="1:1">
      <c r="A48" s="10" t="s">
        <v>33</v>
      </c>
    </row>
    <row r="49" spans="1:11">
      <c r="A49" s="10" t="s">
        <v>34</v>
      </c>
    </row>
    <row r="50" spans="1:11">
      <c r="A50" s="10" t="s">
        <v>35</v>
      </c>
    </row>
    <row r="51" spans="1:11">
      <c r="A51" s="10" t="s">
        <v>36</v>
      </c>
    </row>
    <row r="53" spans="1:11">
      <c r="D53">
        <v>56</v>
      </c>
      <c r="F53">
        <v>44</v>
      </c>
      <c r="J53" t="s">
        <v>38</v>
      </c>
    </row>
    <row r="55" spans="1:11">
      <c r="E55">
        <v>11</v>
      </c>
      <c r="G55">
        <v>33</v>
      </c>
      <c r="I55" s="11">
        <f>E55/SUM(E55:G55)*100</f>
        <v>25</v>
      </c>
      <c r="K55" s="11">
        <f>G55/SUM(E55:G55)*100</f>
        <v>75</v>
      </c>
    </row>
    <row r="57" spans="1:11">
      <c r="F57">
        <v>1</v>
      </c>
      <c r="G57">
        <v>32</v>
      </c>
      <c r="J57" s="11">
        <f>F57/SUM(E57:G57)*K55</f>
        <v>2.2727272727272729</v>
      </c>
      <c r="K57" s="11">
        <f>G57/SUM(E57:G57)*K55</f>
        <v>72.727272727272734</v>
      </c>
    </row>
    <row r="60" spans="1:11">
      <c r="A60" t="s">
        <v>52</v>
      </c>
    </row>
    <row r="61" spans="1:11">
      <c r="A61" t="s">
        <v>53</v>
      </c>
    </row>
    <row r="62" spans="1:11">
      <c r="A62" t="s">
        <v>54</v>
      </c>
      <c r="E62" s="11"/>
      <c r="G62" s="11"/>
    </row>
    <row r="63" spans="1:11">
      <c r="A63" t="s">
        <v>55</v>
      </c>
    </row>
    <row r="64" spans="1:11">
      <c r="A64" t="s">
        <v>56</v>
      </c>
      <c r="F64" s="11"/>
      <c r="G64" s="11"/>
    </row>
    <row r="65" spans="1:1">
      <c r="A65" t="s">
        <v>57</v>
      </c>
    </row>
  </sheetData>
  <phoneticPr fontId="4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K12"/>
  <sheetViews>
    <sheetView workbookViewId="0">
      <selection activeCell="H16" sqref="H16"/>
    </sheetView>
  </sheetViews>
  <sheetFormatPr defaultRowHeight="12.75"/>
  <cols>
    <col min="1" max="1" width="9.140625" style="10"/>
    <col min="2" max="5" width="3" style="10" bestFit="1" customWidth="1"/>
    <col min="6" max="6" width="3" style="10" customWidth="1"/>
    <col min="7" max="7" width="8.7109375" style="10" customWidth="1"/>
    <col min="8" max="8" width="18.5703125" style="10" bestFit="1" customWidth="1"/>
    <col min="9" max="9" width="3" style="10" bestFit="1" customWidth="1"/>
    <col min="10" max="10" width="4.7109375" style="10" bestFit="1" customWidth="1"/>
    <col min="11" max="11" width="5.7109375" style="10" bestFit="1" customWidth="1"/>
    <col min="12" max="16384" width="9.140625" style="10"/>
  </cols>
  <sheetData>
    <row r="3" spans="1:11">
      <c r="A3" s="10" t="s">
        <v>37</v>
      </c>
    </row>
    <row r="4" spans="1:11">
      <c r="A4" s="10" t="s">
        <v>41</v>
      </c>
    </row>
    <row r="7" spans="1:11">
      <c r="B7" s="10" t="s">
        <v>40</v>
      </c>
      <c r="D7" s="10" t="s">
        <v>38</v>
      </c>
    </row>
    <row r="8" spans="1:11">
      <c r="B8" s="12">
        <v>56</v>
      </c>
      <c r="D8" s="12">
        <v>44</v>
      </c>
      <c r="H8" s="14" t="s">
        <v>39</v>
      </c>
      <c r="J8" s="14" t="s">
        <v>38</v>
      </c>
    </row>
    <row r="10" spans="1:11">
      <c r="C10" s="12">
        <v>11</v>
      </c>
      <c r="E10" s="12">
        <v>33</v>
      </c>
      <c r="I10" s="12">
        <f>C10/D8*100</f>
        <v>25</v>
      </c>
      <c r="K10" s="12">
        <f>E10/D8*100</f>
        <v>75</v>
      </c>
    </row>
    <row r="12" spans="1:11">
      <c r="D12" s="12">
        <v>1</v>
      </c>
      <c r="E12" s="12">
        <v>32</v>
      </c>
      <c r="J12" s="13">
        <f>D12/D8*100</f>
        <v>2.2727272727272729</v>
      </c>
      <c r="K12" s="13">
        <f>E12/D8*100</f>
        <v>72.727272727272734</v>
      </c>
    </row>
  </sheetData>
  <phoneticPr fontId="4" type="noConversion"/>
  <pageMargins left="0.75" right="0.75" top="1" bottom="1" header="0.5" footer="0.5"/>
  <pageSetup orientation="portrait" horizontalDpi="4294967293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2:D22"/>
  <sheetViews>
    <sheetView workbookViewId="0">
      <selection activeCell="C12" sqref="C12"/>
    </sheetView>
  </sheetViews>
  <sheetFormatPr defaultRowHeight="12.75"/>
  <cols>
    <col min="1" max="2" width="9.140625" style="10"/>
    <col min="3" max="3" width="14.140625" style="10" bestFit="1" customWidth="1"/>
    <col min="4" max="4" width="12.5703125" style="10" bestFit="1" customWidth="1"/>
    <col min="5" max="16384" width="9.140625" style="10"/>
  </cols>
  <sheetData>
    <row r="2" spans="1:4" ht="69.75" customHeight="1"/>
    <row r="4" spans="1:4">
      <c r="A4" s="10" t="s">
        <v>42</v>
      </c>
      <c r="C4" s="10" t="s">
        <v>44</v>
      </c>
      <c r="D4" s="10" t="s">
        <v>45</v>
      </c>
    </row>
    <row r="5" spans="1:4">
      <c r="A5" s="10" t="s">
        <v>43</v>
      </c>
      <c r="C5" s="15">
        <v>75000000</v>
      </c>
      <c r="D5" s="15">
        <v>50000000</v>
      </c>
    </row>
    <row r="6" spans="1:4">
      <c r="B6" s="10" t="s">
        <v>46</v>
      </c>
      <c r="C6" s="15">
        <v>12000000</v>
      </c>
      <c r="D6" s="16">
        <f>C6/C$5*D$5</f>
        <v>8000000</v>
      </c>
    </row>
    <row r="7" spans="1:4">
      <c r="B7" s="10" t="s">
        <v>47</v>
      </c>
      <c r="C7" s="15">
        <v>3000000</v>
      </c>
      <c r="D7" s="16">
        <f t="shared" ref="D7:D12" si="0">C7/C$5*D$5</f>
        <v>2000000</v>
      </c>
    </row>
    <row r="8" spans="1:4">
      <c r="B8" s="10" t="s">
        <v>48</v>
      </c>
      <c r="C8" s="15">
        <v>2000000</v>
      </c>
      <c r="D8" s="16">
        <f t="shared" si="0"/>
        <v>1333333.3333333335</v>
      </c>
    </row>
    <row r="9" spans="1:4">
      <c r="B9" s="10" t="s">
        <v>49</v>
      </c>
      <c r="C9" s="15"/>
      <c r="D9" s="16">
        <f t="shared" si="0"/>
        <v>0</v>
      </c>
    </row>
    <row r="10" spans="1:4">
      <c r="B10" s="10" t="s">
        <v>50</v>
      </c>
      <c r="D10" s="16">
        <f t="shared" si="0"/>
        <v>0</v>
      </c>
    </row>
    <row r="11" spans="1:4">
      <c r="B11" s="10" t="s">
        <v>50</v>
      </c>
      <c r="D11" s="16">
        <f t="shared" si="0"/>
        <v>0</v>
      </c>
    </row>
    <row r="12" spans="1:4">
      <c r="C12" s="15">
        <v>25000000</v>
      </c>
      <c r="D12" s="16">
        <f t="shared" si="0"/>
        <v>16666666.666666666</v>
      </c>
    </row>
    <row r="14" spans="1:4">
      <c r="A14" s="10" t="s">
        <v>42</v>
      </c>
      <c r="C14" s="10" t="s">
        <v>44</v>
      </c>
      <c r="D14" s="10" t="s">
        <v>45</v>
      </c>
    </row>
    <row r="15" spans="1:4">
      <c r="A15" s="10" t="s">
        <v>43</v>
      </c>
      <c r="C15" s="15">
        <v>50000000</v>
      </c>
      <c r="D15" s="15">
        <v>75000000</v>
      </c>
    </row>
    <row r="16" spans="1:4">
      <c r="B16" s="10" t="s">
        <v>46</v>
      </c>
      <c r="C16" s="15">
        <v>12000000</v>
      </c>
      <c r="D16" s="16">
        <f>C16/C$15*D$15</f>
        <v>18000000</v>
      </c>
    </row>
    <row r="17" spans="2:4">
      <c r="B17" s="10" t="s">
        <v>47</v>
      </c>
      <c r="C17" s="15">
        <v>3000000</v>
      </c>
      <c r="D17" s="16">
        <f t="shared" ref="D17:D22" si="1">C17/C$15*D$15</f>
        <v>4500000</v>
      </c>
    </row>
    <row r="18" spans="2:4">
      <c r="B18" s="10" t="s">
        <v>48</v>
      </c>
      <c r="C18" s="15">
        <v>2000000</v>
      </c>
      <c r="D18" s="16">
        <f t="shared" si="1"/>
        <v>3000000</v>
      </c>
    </row>
    <row r="19" spans="2:4">
      <c r="B19" s="10" t="s">
        <v>49</v>
      </c>
      <c r="C19" s="15"/>
      <c r="D19" s="16">
        <f t="shared" si="1"/>
        <v>0</v>
      </c>
    </row>
    <row r="20" spans="2:4">
      <c r="B20" s="10" t="s">
        <v>50</v>
      </c>
      <c r="D20" s="16">
        <f t="shared" si="1"/>
        <v>0</v>
      </c>
    </row>
    <row r="21" spans="2:4">
      <c r="B21" s="10" t="s">
        <v>50</v>
      </c>
      <c r="D21" s="16">
        <f t="shared" si="1"/>
        <v>0</v>
      </c>
    </row>
    <row r="22" spans="2:4">
      <c r="C22" s="15">
        <v>25000000</v>
      </c>
      <c r="D22" s="16">
        <f t="shared" si="1"/>
        <v>37500000</v>
      </c>
    </row>
  </sheetData>
  <phoneticPr fontId="4" type="noConversion"/>
  <pageMargins left="0.75" right="0.75" top="1" bottom="1" header="0.5" footer="0.5"/>
  <pageSetup orientation="portrait" horizontalDpi="4294967293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H22"/>
  <sheetViews>
    <sheetView workbookViewId="0">
      <selection activeCell="J9" sqref="J9"/>
    </sheetView>
  </sheetViews>
  <sheetFormatPr defaultRowHeight="12.75"/>
  <cols>
    <col min="1" max="2" width="9.140625" style="10"/>
    <col min="3" max="3" width="14.140625" style="10" bestFit="1" customWidth="1"/>
    <col min="4" max="6" width="14.140625" style="10" customWidth="1"/>
    <col min="7" max="7" width="12.5703125" style="10" bestFit="1" customWidth="1"/>
    <col min="8" max="16384" width="9.140625" style="10"/>
  </cols>
  <sheetData>
    <row r="2" spans="1:8" ht="69.75" customHeight="1"/>
    <row r="4" spans="1:8">
      <c r="A4" s="10" t="s">
        <v>42</v>
      </c>
      <c r="C4" s="10" t="s">
        <v>44</v>
      </c>
      <c r="G4" s="10" t="s">
        <v>45</v>
      </c>
    </row>
    <row r="5" spans="1:8">
      <c r="A5" s="10" t="s">
        <v>43</v>
      </c>
      <c r="C5" s="15">
        <v>75000000</v>
      </c>
      <c r="D5" s="15"/>
      <c r="E5" s="15"/>
      <c r="F5" s="15"/>
      <c r="G5" s="15">
        <v>50000000</v>
      </c>
    </row>
    <row r="6" spans="1:8">
      <c r="B6" s="10" t="s">
        <v>46</v>
      </c>
      <c r="C6" s="15">
        <v>12000000</v>
      </c>
      <c r="D6" s="17">
        <f>C6/C$5</f>
        <v>0.16</v>
      </c>
      <c r="E6" s="17"/>
      <c r="F6" s="15">
        <f t="shared" ref="F6:F11" si="0">C6/C$12*F$12</f>
        <v>9600000</v>
      </c>
      <c r="G6" s="16">
        <f>F6/C$5*G$5</f>
        <v>6400000</v>
      </c>
    </row>
    <row r="7" spans="1:8">
      <c r="B7" s="10" t="s">
        <v>47</v>
      </c>
      <c r="C7" s="15">
        <v>3000000</v>
      </c>
      <c r="D7" s="17">
        <f t="shared" ref="D7:D12" si="1">C7/C$5</f>
        <v>0.04</v>
      </c>
      <c r="E7" s="17"/>
      <c r="F7" s="15">
        <f t="shared" si="0"/>
        <v>2400000</v>
      </c>
      <c r="G7" s="16">
        <f t="shared" ref="G7:G11" si="2">F7/C$5*G$5</f>
        <v>1600000</v>
      </c>
    </row>
    <row r="8" spans="1:8">
      <c r="B8" s="10" t="s">
        <v>48</v>
      </c>
      <c r="C8" s="15">
        <v>2000000</v>
      </c>
      <c r="D8" s="17">
        <f t="shared" si="1"/>
        <v>2.6666666666666668E-2</v>
      </c>
      <c r="E8" s="17"/>
      <c r="F8" s="15">
        <f t="shared" si="0"/>
        <v>1600000</v>
      </c>
      <c r="G8" s="16">
        <f t="shared" si="2"/>
        <v>1066666.6666666667</v>
      </c>
    </row>
    <row r="9" spans="1:8">
      <c r="B9" s="10" t="s">
        <v>49</v>
      </c>
      <c r="C9" s="15"/>
      <c r="D9" s="17">
        <f t="shared" si="1"/>
        <v>0</v>
      </c>
      <c r="E9" s="17"/>
      <c r="F9" s="15">
        <f t="shared" si="0"/>
        <v>0</v>
      </c>
      <c r="G9" s="16">
        <f t="shared" si="2"/>
        <v>0</v>
      </c>
    </row>
    <row r="10" spans="1:8">
      <c r="B10" s="10" t="s">
        <v>50</v>
      </c>
      <c r="D10" s="17">
        <f t="shared" si="1"/>
        <v>0</v>
      </c>
      <c r="E10" s="17"/>
      <c r="F10" s="15">
        <f t="shared" si="0"/>
        <v>0</v>
      </c>
      <c r="G10" s="16">
        <f t="shared" si="2"/>
        <v>0</v>
      </c>
    </row>
    <row r="11" spans="1:8">
      <c r="B11" s="10" t="s">
        <v>50</v>
      </c>
      <c r="D11" s="17">
        <f t="shared" si="1"/>
        <v>0</v>
      </c>
      <c r="E11" s="17"/>
      <c r="F11" s="15">
        <f t="shared" si="0"/>
        <v>0</v>
      </c>
      <c r="G11" s="16">
        <f t="shared" si="2"/>
        <v>0</v>
      </c>
    </row>
    <row r="12" spans="1:8">
      <c r="C12" s="15">
        <v>30000000</v>
      </c>
      <c r="D12" s="17">
        <f t="shared" si="1"/>
        <v>0.4</v>
      </c>
      <c r="E12" s="17">
        <v>0.32</v>
      </c>
      <c r="F12" s="15">
        <f>C5*E12</f>
        <v>24000000</v>
      </c>
      <c r="G12" s="16">
        <f>F12/C$5*G$5</f>
        <v>16000000</v>
      </c>
      <c r="H12" s="10">
        <f>G12/G5</f>
        <v>0.32</v>
      </c>
    </row>
    <row r="14" spans="1:8">
      <c r="A14" s="10" t="s">
        <v>42</v>
      </c>
      <c r="C14" s="10" t="s">
        <v>44</v>
      </c>
      <c r="G14" s="10" t="s">
        <v>45</v>
      </c>
    </row>
    <row r="15" spans="1:8">
      <c r="A15" s="10" t="s">
        <v>43</v>
      </c>
      <c r="C15" s="15">
        <v>50000000</v>
      </c>
      <c r="D15" s="15"/>
      <c r="E15" s="15"/>
      <c r="F15" s="15"/>
      <c r="G15" s="15">
        <v>75000000</v>
      </c>
    </row>
    <row r="16" spans="1:8">
      <c r="B16" s="10" t="s">
        <v>46</v>
      </c>
      <c r="C16" s="15">
        <v>12000000</v>
      </c>
      <c r="D16" s="17">
        <f>C16/C$5</f>
        <v>0.16</v>
      </c>
      <c r="E16" s="17"/>
      <c r="F16" s="15">
        <f t="shared" ref="F16:F21" si="3">C16/C$22*F$22</f>
        <v>12800000</v>
      </c>
      <c r="G16" s="16">
        <f t="shared" ref="G16:G21" si="4">F16/C$5*G$5</f>
        <v>8533333.333333334</v>
      </c>
    </row>
    <row r="17" spans="2:8">
      <c r="B17" s="10" t="s">
        <v>47</v>
      </c>
      <c r="C17" s="15">
        <v>3000000</v>
      </c>
      <c r="D17" s="17">
        <f t="shared" ref="D17:D22" si="5">C17/C$5</f>
        <v>0.04</v>
      </c>
      <c r="E17" s="17"/>
      <c r="F17" s="15">
        <f t="shared" si="3"/>
        <v>3200000</v>
      </c>
      <c r="G17" s="16">
        <f t="shared" si="4"/>
        <v>2133333.3333333335</v>
      </c>
    </row>
    <row r="18" spans="2:8">
      <c r="B18" s="10" t="s">
        <v>48</v>
      </c>
      <c r="C18" s="15">
        <v>2000000</v>
      </c>
      <c r="D18" s="17">
        <f t="shared" si="5"/>
        <v>2.6666666666666668E-2</v>
      </c>
      <c r="E18" s="17"/>
      <c r="F18" s="15">
        <f t="shared" si="3"/>
        <v>2133333.3333333335</v>
      </c>
      <c r="G18" s="16">
        <f t="shared" si="4"/>
        <v>1422222.2222222222</v>
      </c>
    </row>
    <row r="19" spans="2:8">
      <c r="B19" s="10" t="s">
        <v>49</v>
      </c>
      <c r="C19" s="15"/>
      <c r="D19" s="17">
        <f t="shared" si="5"/>
        <v>0</v>
      </c>
      <c r="E19" s="17"/>
      <c r="F19" s="15">
        <f t="shared" si="3"/>
        <v>0</v>
      </c>
      <c r="G19" s="16">
        <f t="shared" si="4"/>
        <v>0</v>
      </c>
    </row>
    <row r="20" spans="2:8">
      <c r="B20" s="10" t="s">
        <v>50</v>
      </c>
      <c r="D20" s="17">
        <f t="shared" si="5"/>
        <v>0</v>
      </c>
      <c r="E20" s="17"/>
      <c r="F20" s="15">
        <f t="shared" si="3"/>
        <v>0</v>
      </c>
      <c r="G20" s="16">
        <f t="shared" si="4"/>
        <v>0</v>
      </c>
    </row>
    <row r="21" spans="2:8">
      <c r="B21" s="10" t="s">
        <v>50</v>
      </c>
      <c r="D21" s="17">
        <f t="shared" si="5"/>
        <v>0</v>
      </c>
      <c r="E21" s="17"/>
      <c r="F21" s="15">
        <f t="shared" si="3"/>
        <v>0</v>
      </c>
      <c r="G21" s="16">
        <f t="shared" si="4"/>
        <v>0</v>
      </c>
    </row>
    <row r="22" spans="2:8">
      <c r="C22" s="15">
        <v>15000000</v>
      </c>
      <c r="D22" s="17">
        <f t="shared" si="5"/>
        <v>0.2</v>
      </c>
      <c r="E22" s="17">
        <v>0.32</v>
      </c>
      <c r="F22" s="15">
        <f>C15*E22</f>
        <v>16000000</v>
      </c>
      <c r="G22" s="16">
        <f>F22/C$15*G$15</f>
        <v>24000000</v>
      </c>
      <c r="H22" s="10">
        <f>G22/G15</f>
        <v>0.32</v>
      </c>
    </row>
  </sheetData>
  <phoneticPr fontId="4" type="noConversion"/>
  <pageMargins left="0.75" right="0.75" top="1" bottom="1" header="0.5" footer="0.5"/>
  <pageSetup orientation="portrait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</vt:lpstr>
      <vt:lpstr>usulan perubahan % remun</vt:lpstr>
      <vt:lpstr>simulasi distribusi per case</vt:lpstr>
      <vt:lpstr>simulasi distribusi per case 32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2015-08-20T03:13:12Z</dcterms:created>
  <dcterms:modified xsi:type="dcterms:W3CDTF">2017-02-13T00:42:01Z</dcterms:modified>
</cp:coreProperties>
</file>